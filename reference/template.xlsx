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hinonome/Downloads/"/>
    </mc:Choice>
  </mc:AlternateContent>
  <xr:revisionPtr revIDLastSave="0" documentId="8_{B584B6F6-F6CB-FC49-8881-DF13F357B816}" xr6:coauthVersionLast="47" xr6:coauthVersionMax="47" xr10:uidLastSave="{00000000-0000-0000-0000-000000000000}"/>
  <bookViews>
    <workbookView xWindow="11800" yWindow="500" windowWidth="17000" windowHeight="16300" xr2:uid="{00000000-000D-0000-FFFF-FFFF00000000}"/>
  </bookViews>
  <sheets>
    <sheet name="一覧表" sheetId="15" r:id="rId1"/>
    <sheet name="密度" sheetId="11" r:id="rId2"/>
    <sheet name="含水" sheetId="12" r:id="rId3"/>
    <sheet name="粒度" sheetId="14" r:id="rId4"/>
    <sheet name="湿潤" sheetId="13" r:id="rId5"/>
    <sheet name="三軸" sheetId="17" r:id="rId6"/>
    <sheet name="圧密" sheetId="16" r:id="rId7"/>
    <sheet name="圧縮指数" sheetId="1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8" l="1"/>
  <c r="I15" i="18"/>
  <c r="H15" i="18"/>
  <c r="G15" i="18"/>
  <c r="F15" i="18"/>
  <c r="E15" i="18"/>
  <c r="D15" i="18"/>
  <c r="C15" i="18"/>
  <c r="J14" i="18"/>
  <c r="I14" i="18"/>
  <c r="H14" i="18"/>
  <c r="G14" i="18"/>
  <c r="F14" i="18"/>
  <c r="E14" i="18"/>
  <c r="D14" i="18"/>
  <c r="C14" i="18"/>
  <c r="J13" i="18"/>
  <c r="I13" i="18"/>
  <c r="H13" i="18"/>
  <c r="G13" i="18"/>
  <c r="F13" i="18"/>
  <c r="E13" i="18"/>
  <c r="D13" i="18"/>
  <c r="C13" i="18"/>
  <c r="J15" i="16"/>
  <c r="I15" i="16"/>
  <c r="H15" i="16"/>
  <c r="G15" i="16"/>
  <c r="F15" i="16"/>
  <c r="E15" i="16"/>
  <c r="D15" i="16"/>
  <c r="C15" i="16"/>
  <c r="J14" i="16"/>
  <c r="I14" i="16"/>
  <c r="H14" i="16"/>
  <c r="G14" i="16"/>
  <c r="F14" i="16"/>
  <c r="E14" i="16"/>
  <c r="D14" i="16"/>
  <c r="C14" i="16"/>
  <c r="J13" i="16"/>
  <c r="I13" i="16"/>
  <c r="H13" i="16"/>
  <c r="G13" i="16"/>
  <c r="F13" i="16"/>
  <c r="E13" i="16"/>
  <c r="D13" i="16"/>
  <c r="C13" i="16"/>
  <c r="J15" i="17"/>
  <c r="I15" i="17"/>
  <c r="H15" i="17"/>
  <c r="G15" i="17"/>
  <c r="F15" i="17"/>
  <c r="E15" i="17"/>
  <c r="D15" i="17"/>
  <c r="C15" i="17"/>
  <c r="J14" i="17"/>
  <c r="I14" i="17"/>
  <c r="H14" i="17"/>
  <c r="G14" i="17"/>
  <c r="F14" i="17"/>
  <c r="E14" i="17"/>
  <c r="D14" i="17"/>
  <c r="C14" i="17"/>
  <c r="J13" i="17"/>
  <c r="I13" i="17"/>
  <c r="H13" i="17"/>
  <c r="G13" i="17"/>
  <c r="F13" i="17"/>
  <c r="E13" i="17"/>
  <c r="D13" i="17"/>
  <c r="C13" i="17"/>
  <c r="J14" i="13"/>
  <c r="I14" i="13"/>
  <c r="H14" i="13"/>
  <c r="G14" i="13"/>
  <c r="F14" i="13"/>
  <c r="E14" i="13"/>
  <c r="D14" i="13"/>
  <c r="C14" i="13"/>
  <c r="J13" i="13"/>
  <c r="I13" i="13"/>
  <c r="H13" i="13"/>
  <c r="G13" i="13"/>
  <c r="F13" i="13"/>
  <c r="E13" i="13"/>
  <c r="D13" i="13"/>
  <c r="C13" i="13"/>
  <c r="J12" i="13"/>
  <c r="I12" i="13"/>
  <c r="H12" i="13"/>
  <c r="G12" i="13"/>
  <c r="F12" i="13"/>
  <c r="E12" i="13"/>
  <c r="D12" i="13"/>
  <c r="C12" i="13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B18" i="12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P78" i="15"/>
  <c r="P77" i="15"/>
  <c r="P76" i="15"/>
  <c r="P75" i="15"/>
  <c r="P74" i="15"/>
  <c r="P73" i="15"/>
  <c r="P72" i="15"/>
  <c r="P71" i="15"/>
  <c r="P70" i="15"/>
  <c r="P69" i="15"/>
  <c r="P68" i="15"/>
  <c r="P67" i="15"/>
  <c r="P66" i="15"/>
  <c r="P65" i="15"/>
  <c r="P64" i="15"/>
  <c r="P63" i="15"/>
  <c r="P62" i="15"/>
  <c r="P61" i="15"/>
  <c r="P56" i="15"/>
  <c r="P55" i="15"/>
  <c r="P54" i="15"/>
  <c r="P53" i="15"/>
  <c r="P52" i="15"/>
  <c r="P51" i="15"/>
  <c r="P50" i="15"/>
  <c r="P49" i="15"/>
  <c r="P48" i="15"/>
  <c r="P47" i="15"/>
  <c r="P46" i="15"/>
  <c r="P45" i="15"/>
  <c r="P44" i="15"/>
  <c r="P43" i="15"/>
  <c r="P42" i="15"/>
  <c r="P41" i="15"/>
  <c r="P40" i="15"/>
  <c r="P39" i="15"/>
  <c r="P38" i="15"/>
  <c r="P37" i="15"/>
  <c r="P36" i="15"/>
  <c r="P35" i="15"/>
  <c r="P34" i="15"/>
  <c r="P33" i="15"/>
  <c r="P32" i="15"/>
  <c r="P31" i="15"/>
  <c r="P30" i="15"/>
  <c r="P25" i="15"/>
  <c r="P24" i="15"/>
  <c r="P23" i="15"/>
  <c r="P22" i="15"/>
  <c r="P21" i="15"/>
  <c r="P20" i="15"/>
  <c r="P19" i="15"/>
  <c r="P18" i="15"/>
  <c r="P17" i="15"/>
  <c r="P16" i="15"/>
  <c r="P15" i="15"/>
  <c r="P14" i="15"/>
  <c r="P13" i="15"/>
  <c r="P12" i="15"/>
  <c r="P11" i="15"/>
  <c r="P10" i="15"/>
  <c r="P9" i="15"/>
  <c r="P8" i="15"/>
  <c r="P7" i="15"/>
  <c r="P6" i="15"/>
</calcChain>
</file>

<file path=xl/sharedStrings.xml><?xml version="1.0" encoding="utf-8"?>
<sst xmlns="http://schemas.openxmlformats.org/spreadsheetml/2006/main" count="777" uniqueCount="266">
  <si>
    <t>As1</t>
  </si>
  <si>
    <t>Ac2</t>
  </si>
  <si>
    <t>Ac3</t>
  </si>
  <si>
    <t>As2</t>
  </si>
  <si>
    <t>Ds</t>
  </si>
  <si>
    <t>Dc</t>
  </si>
  <si>
    <t>Og1</t>
  </si>
  <si>
    <t>Oc1</t>
  </si>
  <si>
    <t>Og2</t>
  </si>
  <si>
    <t>Oc2</t>
  </si>
  <si>
    <t>Os1</t>
  </si>
  <si>
    <t>Oc3</t>
  </si>
  <si>
    <t>Os2</t>
  </si>
  <si>
    <t>Oc4</t>
  </si>
  <si>
    <t>Os3</t>
  </si>
  <si>
    <t>MIN</t>
  </si>
  <si>
    <t>MAX</t>
  </si>
  <si>
    <t>ADV</t>
  </si>
  <si>
    <t>粘性土質砂</t>
  </si>
  <si>
    <t>粘土　　　　　　　　　　　　　（高液性限界）</t>
  </si>
  <si>
    <t>砂質粘土　　　　　　　　　　（低液性限界）</t>
  </si>
  <si>
    <t>粘性土質礫質砂</t>
  </si>
  <si>
    <t>砂まじり粘土　　　　　　　　　　（低液性限界）</t>
  </si>
  <si>
    <t>粘性土まじり礫質砂</t>
  </si>
  <si>
    <t>砂まじり粘土　　　　　　　　　　　　　（高液性限界）</t>
  </si>
  <si>
    <t>礫まじり粘性土質砂</t>
  </si>
  <si>
    <t>砂まじり粘土　　　　　　　　　　　　　（低液性限界）</t>
  </si>
  <si>
    <t>粘性土礫まじり砂</t>
  </si>
  <si>
    <t>粘性土まじり砂</t>
  </si>
  <si>
    <t>砂質粘土　　　　　　　　　　　　　（高液性限界）</t>
  </si>
  <si>
    <t>砂まじり粘土　　　　　　　　　　（高液性限界）</t>
  </si>
  <si>
    <t>砂質シルト　　　　　　　　　　　　　（低液性限界）</t>
  </si>
  <si>
    <t>粘性土まじり砂質礫</t>
  </si>
  <si>
    <t>砂質粘土　　　　　　　　　　　　　（低液性限界）</t>
  </si>
  <si>
    <t>SCｓ</t>
  </si>
  <si>
    <t>CH</t>
  </si>
  <si>
    <t>CLS</t>
  </si>
  <si>
    <t>SCｓG</t>
  </si>
  <si>
    <t>CL-S</t>
  </si>
  <si>
    <t>SG-Cs</t>
  </si>
  <si>
    <t>CH-S</t>
  </si>
  <si>
    <t>SCs-G</t>
  </si>
  <si>
    <t>S-CsG</t>
  </si>
  <si>
    <t>CHS</t>
  </si>
  <si>
    <t>S-Cs</t>
  </si>
  <si>
    <t>S-Cｓ</t>
  </si>
  <si>
    <t>SG-Cｓ</t>
  </si>
  <si>
    <t>MLS</t>
  </si>
  <si>
    <t>SCｓ-G</t>
  </si>
  <si>
    <t>GS-Cｓ</t>
  </si>
  <si>
    <t>GS-Cs</t>
  </si>
  <si>
    <t>孔番</t>
  </si>
  <si>
    <t>Fc上</t>
  </si>
  <si>
    <t>Fc下</t>
  </si>
  <si>
    <t>Ac1上</t>
  </si>
  <si>
    <t>Ac1下</t>
  </si>
  <si>
    <t>Dc1上</t>
  </si>
  <si>
    <t>Dc1下</t>
  </si>
  <si>
    <t>Dc2</t>
  </si>
  <si>
    <t>No.7</t>
  </si>
  <si>
    <t>No.15</t>
  </si>
  <si>
    <t>No.16</t>
  </si>
  <si>
    <t>No.9</t>
  </si>
  <si>
    <t>No.10</t>
  </si>
  <si>
    <t>No.8</t>
  </si>
  <si>
    <t>No.12</t>
  </si>
  <si>
    <t>「高度専門教育訓練センター新築工事地質調査業務委託」室内土質試験結果一覧表（No.6・No.8・No.14地点）</t>
  </si>
  <si>
    <t>地層　　　記号</t>
  </si>
  <si>
    <t>試料番号</t>
  </si>
  <si>
    <t>採取深度</t>
  </si>
  <si>
    <t>湿潤密度</t>
  </si>
  <si>
    <t>乾燥密度</t>
  </si>
  <si>
    <t>土粒子の　　　密度</t>
  </si>
  <si>
    <t>自然　　　　　　　含水比</t>
  </si>
  <si>
    <t>間隙比</t>
  </si>
  <si>
    <t>飽和度</t>
  </si>
  <si>
    <t>粒　度　特　性</t>
  </si>
  <si>
    <t>分類名</t>
  </si>
  <si>
    <t>コンシステンシー</t>
  </si>
  <si>
    <t>三軸圧縮（UU）</t>
  </si>
  <si>
    <t>圧密降伏応力</t>
  </si>
  <si>
    <t>圧縮指数</t>
  </si>
  <si>
    <t>（m）</t>
  </si>
  <si>
    <t>ρｔ　　　　　　　（Mg/㎥）</t>
  </si>
  <si>
    <t>ρｄ　　　　　　　（Mg/㎥）</t>
  </si>
  <si>
    <t>ρs　　　　（Mg/㎥）</t>
  </si>
  <si>
    <t>Wn　　　　　（％）</t>
  </si>
  <si>
    <t>e　　　　　（－）</t>
  </si>
  <si>
    <t>Sr　　　　　（％）</t>
  </si>
  <si>
    <t>礫分　　　　　　（％）</t>
  </si>
  <si>
    <t>砂分　　　　　（％）</t>
  </si>
  <si>
    <t>シルト分（％）</t>
  </si>
  <si>
    <t>粘土分（％）</t>
  </si>
  <si>
    <t>細粒分　　　　Fc　　　　（％）</t>
  </si>
  <si>
    <t>最大　　　粒径　　　（mm）</t>
  </si>
  <si>
    <t>D50　　　粒径（㎜）</t>
  </si>
  <si>
    <t>D20　　　　粒径（㎜）</t>
  </si>
  <si>
    <t>D10　　　　粒径（㎜）</t>
  </si>
  <si>
    <t>分類記号</t>
  </si>
  <si>
    <t>液性限界WL（％）</t>
  </si>
  <si>
    <t>塑性限界Wp（％）</t>
  </si>
  <si>
    <t>塑性指数　IP　（－）</t>
  </si>
  <si>
    <t>ｺﾝｼｽﾃﾝｼｰ指数　Ic　（－）</t>
  </si>
  <si>
    <t>ｃu　　　　（kN/㎡）</t>
  </si>
  <si>
    <t>φu　　　（°）</t>
  </si>
  <si>
    <t>Pc　　（kN/㎡）</t>
  </si>
  <si>
    <t>Cc　（－）</t>
  </si>
  <si>
    <t>No.6</t>
  </si>
  <si>
    <t>6P-1</t>
  </si>
  <si>
    <t>1.15～1.45</t>
  </si>
  <si>
    <t>19</t>
  </si>
  <si>
    <t>6P-2</t>
  </si>
  <si>
    <t>2.15～2.45</t>
  </si>
  <si>
    <t>SCsG</t>
  </si>
  <si>
    <t>6P-3</t>
  </si>
  <si>
    <t>3.15～3.45</t>
  </si>
  <si>
    <t>6P-4</t>
  </si>
  <si>
    <t>4.15～4.45</t>
  </si>
  <si>
    <t>9.5</t>
  </si>
  <si>
    <t>0.16</t>
  </si>
  <si>
    <t>6P-5</t>
  </si>
  <si>
    <t>5.15～5.45</t>
  </si>
  <si>
    <t>26.5</t>
  </si>
  <si>
    <t>6P-6</t>
  </si>
  <si>
    <t>6.15～6.30</t>
  </si>
  <si>
    <t>6P-7</t>
  </si>
  <si>
    <t>7.15～7.45</t>
  </si>
  <si>
    <t>6P-8</t>
  </si>
  <si>
    <t>8.15～8.45</t>
  </si>
  <si>
    <t>37.5</t>
  </si>
  <si>
    <t>0.79</t>
  </si>
  <si>
    <t>粘性土質砂質礫</t>
  </si>
  <si>
    <t>GCsS</t>
  </si>
  <si>
    <t>6P-9</t>
  </si>
  <si>
    <t>9.15～9.45</t>
  </si>
  <si>
    <t>6P-10</t>
  </si>
  <si>
    <t>10.15～10.45</t>
  </si>
  <si>
    <t>6P-11</t>
  </si>
  <si>
    <t>11.15～11.45</t>
  </si>
  <si>
    <t>砂礫質粘土（高液性限界）</t>
  </si>
  <si>
    <t>CHSG</t>
  </si>
  <si>
    <t>6P-12</t>
  </si>
  <si>
    <t>12.15～12.45</t>
  </si>
  <si>
    <t>6P-13</t>
  </si>
  <si>
    <t>13.15～13.48</t>
  </si>
  <si>
    <t>6P-14</t>
  </si>
  <si>
    <t>14.15～14.45</t>
  </si>
  <si>
    <t>6P-15</t>
  </si>
  <si>
    <t>15.15～15.45</t>
  </si>
  <si>
    <t>0.33</t>
  </si>
  <si>
    <t>6P-16</t>
  </si>
  <si>
    <t>16.15～16.45</t>
  </si>
  <si>
    <t>6P-17</t>
  </si>
  <si>
    <t>17.15～17.45</t>
  </si>
  <si>
    <t>砂質粘土（高液性限界）</t>
  </si>
  <si>
    <t>6P-18</t>
  </si>
  <si>
    <t>18.15～18.45</t>
  </si>
  <si>
    <t>4.75</t>
  </si>
  <si>
    <t>砂まじり粘土（高液性限界）</t>
  </si>
  <si>
    <t>6P-19</t>
  </si>
  <si>
    <t>19.15～19.45</t>
  </si>
  <si>
    <t>6P-20</t>
  </si>
  <si>
    <t>20.15～20.45</t>
  </si>
  <si>
    <t>6P-21</t>
  </si>
  <si>
    <t>21.15～21.45</t>
  </si>
  <si>
    <t>8P-2</t>
  </si>
  <si>
    <t>2.15～2.39</t>
  </si>
  <si>
    <t>8P-3</t>
  </si>
  <si>
    <t>8P-4</t>
  </si>
  <si>
    <t>8P-5</t>
  </si>
  <si>
    <t>5.15～5.42</t>
  </si>
  <si>
    <t>8P-6</t>
  </si>
  <si>
    <t>6.15～6.45</t>
  </si>
  <si>
    <t>8D-1</t>
  </si>
  <si>
    <t>7.00～7.90</t>
  </si>
  <si>
    <t>粘土（高液性限界）</t>
  </si>
  <si>
    <t>8P-8</t>
  </si>
  <si>
    <t>8P-9</t>
  </si>
  <si>
    <t>8P-10</t>
  </si>
  <si>
    <t>8P-11</t>
  </si>
  <si>
    <t>11.15～11.50</t>
  </si>
  <si>
    <t>砂質シルト（高液性限界）</t>
  </si>
  <si>
    <t>MHS</t>
  </si>
  <si>
    <t>8P-12</t>
  </si>
  <si>
    <t>8P-13</t>
  </si>
  <si>
    <t>13.15～13.45</t>
  </si>
  <si>
    <t>8D-2</t>
  </si>
  <si>
    <t>14.00～14.80</t>
  </si>
  <si>
    <t>8P-15</t>
  </si>
  <si>
    <t>8P-16</t>
  </si>
  <si>
    <t>8P-17</t>
  </si>
  <si>
    <t>8P-18</t>
  </si>
  <si>
    <t>18.00～18.02</t>
  </si>
  <si>
    <t>粒径幅の広い砂質礫</t>
  </si>
  <si>
    <t>GWS</t>
  </si>
  <si>
    <t>8P-19</t>
  </si>
  <si>
    <t>8D-3</t>
  </si>
  <si>
    <t>20.00～20.90</t>
  </si>
  <si>
    <t>8P-21</t>
  </si>
  <si>
    <t>8P-22</t>
  </si>
  <si>
    <t>22.15～22.45</t>
  </si>
  <si>
    <t>8D-4</t>
  </si>
  <si>
    <t>25.00～25.80</t>
  </si>
  <si>
    <t>8D-5</t>
  </si>
  <si>
    <t>30.00～30.90</t>
  </si>
  <si>
    <t>8D-6</t>
  </si>
  <si>
    <t>40.00～40.90</t>
  </si>
  <si>
    <t>8D-7</t>
  </si>
  <si>
    <t>53.00～53.90</t>
  </si>
  <si>
    <t>シルト（高液性限界）</t>
  </si>
  <si>
    <t>MH</t>
  </si>
  <si>
    <t>8D-8</t>
  </si>
  <si>
    <t>62.00～62.80</t>
  </si>
  <si>
    <t>8D-9</t>
  </si>
  <si>
    <t>79.00～79.90</t>
  </si>
  <si>
    <t>No.14</t>
  </si>
  <si>
    <t>14P-1</t>
  </si>
  <si>
    <t>1.05～1.15</t>
  </si>
  <si>
    <t>1.2</t>
  </si>
  <si>
    <t>14P-2</t>
  </si>
  <si>
    <t>0.59</t>
  </si>
  <si>
    <t>14P-3</t>
  </si>
  <si>
    <t>14P-4</t>
  </si>
  <si>
    <t>4.15～4.30</t>
  </si>
  <si>
    <t>6.1</t>
  </si>
  <si>
    <t>14P-5</t>
  </si>
  <si>
    <t>5.15～5.47</t>
  </si>
  <si>
    <t>14P-6</t>
  </si>
  <si>
    <t>6.00～6.10</t>
  </si>
  <si>
    <t>7.1</t>
  </si>
  <si>
    <t>14P-7</t>
  </si>
  <si>
    <t>7.15～7.42</t>
  </si>
  <si>
    <t>1.6</t>
  </si>
  <si>
    <t>14P-8</t>
  </si>
  <si>
    <t>8.00～8.10</t>
  </si>
  <si>
    <t>5.5</t>
  </si>
  <si>
    <t>14P-9</t>
  </si>
  <si>
    <t>9.15～9.33</t>
  </si>
  <si>
    <t>1.9</t>
  </si>
  <si>
    <t>14P-10</t>
  </si>
  <si>
    <t>10.15～10.47</t>
  </si>
  <si>
    <t>0.42</t>
  </si>
  <si>
    <t>14P-11</t>
  </si>
  <si>
    <t>11.15～11.48</t>
  </si>
  <si>
    <t>14P-12</t>
  </si>
  <si>
    <t>12.15～12.50</t>
  </si>
  <si>
    <t>0.44</t>
  </si>
  <si>
    <t>14P-13</t>
  </si>
  <si>
    <t>13.15～13.47</t>
  </si>
  <si>
    <t>0.99</t>
  </si>
  <si>
    <t>14P-14</t>
  </si>
  <si>
    <t>14.05～14.08</t>
  </si>
  <si>
    <t>1.7</t>
  </si>
  <si>
    <t>14P-15</t>
  </si>
  <si>
    <t>0.023</t>
  </si>
  <si>
    <t>砂質粘土（低液性限界）</t>
  </si>
  <si>
    <t>14P-16</t>
  </si>
  <si>
    <t>0.12</t>
  </si>
  <si>
    <t>14P-17</t>
  </si>
  <si>
    <t>17.15～17.47</t>
  </si>
  <si>
    <t>0.14</t>
  </si>
  <si>
    <t>14P-18</t>
  </si>
  <si>
    <t>14P-19</t>
  </si>
  <si>
    <t>0.076</t>
  </si>
  <si>
    <t>SCs</t>
  </si>
  <si>
    <t>土粒子の密度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</si>
</sst>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"/>
    <numFmt numFmtId="178" formatCode="0.0000"/>
    <numFmt numFmtId="179" formatCode="0.00_);[Red]\(0.00\)"/>
  </numFmts>
  <fonts count="9">
    <font>
      <sz val="11"/>
      <name val="ＭＳ Ｐゴシック"/>
    </font>
    <font>
      <sz val="9"/>
      <name val="ＭＳ Ｐ明朝"/>
      <family val="1"/>
      <charset val="128"/>
    </font>
    <font>
      <sz val="7"/>
      <name val="ＭＳ Ｐ明朝"/>
      <family val="1"/>
      <charset val="128"/>
    </font>
    <font>
      <sz val="8"/>
      <name val="ＭＳ Ｐ明朝"/>
      <family val="1"/>
      <charset val="128"/>
    </font>
    <font>
      <i/>
      <sz val="8"/>
      <name val="ＭＳ Ｐ明朝"/>
      <family val="1"/>
      <charset val="128"/>
    </font>
    <font>
      <i/>
      <sz val="8"/>
      <name val="ＭＳ Ｐ明朝"/>
      <family val="1"/>
      <charset val="128"/>
    </font>
    <font>
      <sz val="11"/>
      <name val="ＭＳ Ｐゴシック"/>
      <family val="2"/>
      <charset val="128"/>
    </font>
    <font>
      <sz val="10"/>
      <name val="ＭＳ Ｐ明朝"/>
      <family val="1"/>
      <charset val="128"/>
    </font>
    <font>
      <sz val="6"/>
      <name val="Tsukushi A Round Gothic Bold"/>
      <family val="3"/>
      <charset val="128"/>
    </font>
  </fonts>
  <fills count="15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0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0" tint="-0.34998626667073579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dotted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indexed="64"/>
      </top>
      <bottom style="dotted">
        <color indexed="64"/>
      </bottom>
      <diagonal/>
    </border>
    <border>
      <left style="thin">
        <color rgb="FF000000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indexed="64"/>
      </top>
      <bottom/>
      <diagonal/>
    </border>
    <border>
      <left/>
      <right style="thin">
        <color rgb="FF000000"/>
      </right>
      <top style="dotted">
        <color indexed="64"/>
      </top>
      <bottom style="dotted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dotted">
        <color indexed="64"/>
      </bottom>
      <diagonal/>
    </border>
    <border>
      <left style="thin">
        <color rgb="FF000000"/>
      </left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dotted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234">
    <xf numFmtId="0" fontId="0" fillId="0" borderId="0" xfId="0"/>
    <xf numFmtId="177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4" xfId="0" applyBorder="1"/>
    <xf numFmtId="176" fontId="1" fillId="0" borderId="1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horizontal="center"/>
    </xf>
    <xf numFmtId="177" fontId="0" fillId="0" borderId="1" xfId="0" applyNumberFormat="1" applyBorder="1"/>
    <xf numFmtId="0" fontId="0" fillId="0" borderId="1" xfId="0" applyBorder="1" applyAlignment="1">
      <alignment horizontal="center"/>
    </xf>
    <xf numFmtId="177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77" fontId="0" fillId="0" borderId="2" xfId="0" applyNumberFormat="1" applyBorder="1" applyAlignment="1">
      <alignment horizontal="center"/>
    </xf>
    <xf numFmtId="0" fontId="1" fillId="8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76" fontId="0" fillId="0" borderId="2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1" fillId="3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" fontId="0" fillId="0" borderId="0" xfId="0" applyNumberFormat="1"/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9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10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77" fontId="7" fillId="0" borderId="6" xfId="0" applyNumberFormat="1" applyFont="1" applyBorder="1" applyAlignment="1">
      <alignment horizontal="center" vertical="center" wrapText="1"/>
    </xf>
    <xf numFmtId="177" fontId="7" fillId="0" borderId="2" xfId="0" applyNumberFormat="1" applyFont="1" applyBorder="1" applyAlignment="1">
      <alignment horizontal="center" vertical="center" wrapText="1"/>
    </xf>
    <xf numFmtId="177" fontId="7" fillId="0" borderId="2" xfId="0" applyNumberFormat="1" applyFont="1" applyBorder="1" applyAlignment="1">
      <alignment horizontal="center" vertical="center"/>
    </xf>
    <xf numFmtId="177" fontId="7" fillId="0" borderId="7" xfId="0" applyNumberFormat="1" applyFont="1" applyBorder="1" applyAlignment="1">
      <alignment horizontal="center" vertical="center" wrapText="1"/>
    </xf>
    <xf numFmtId="177" fontId="7" fillId="0" borderId="8" xfId="0" applyNumberFormat="1" applyFont="1" applyBorder="1" applyAlignment="1">
      <alignment horizontal="center" vertical="center" wrapText="1"/>
    </xf>
    <xf numFmtId="177" fontId="7" fillId="0" borderId="4" xfId="0" applyNumberFormat="1" applyFont="1" applyBorder="1" applyAlignment="1">
      <alignment horizontal="center" vertical="center"/>
    </xf>
    <xf numFmtId="177" fontId="7" fillId="0" borderId="6" xfId="0" applyNumberFormat="1" applyFont="1" applyBorder="1" applyAlignment="1">
      <alignment horizontal="center" vertical="center"/>
    </xf>
    <xf numFmtId="177" fontId="7" fillId="0" borderId="7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 wrapText="1"/>
    </xf>
    <xf numFmtId="1" fontId="7" fillId="0" borderId="6" xfId="0" applyNumberFormat="1" applyFont="1" applyBorder="1" applyAlignment="1">
      <alignment horizontal="center" vertical="center" wrapText="1"/>
    </xf>
    <xf numFmtId="1" fontId="7" fillId="0" borderId="7" xfId="0" applyNumberFormat="1" applyFont="1" applyBorder="1" applyAlignment="1">
      <alignment horizontal="center" vertical="center" wrapText="1"/>
    </xf>
    <xf numFmtId="1" fontId="7" fillId="0" borderId="8" xfId="0" applyNumberFormat="1" applyFont="1" applyBorder="1" applyAlignment="1">
      <alignment horizontal="center" vertical="center" wrapText="1"/>
    </xf>
    <xf numFmtId="1" fontId="7" fillId="0" borderId="6" xfId="0" applyNumberFormat="1" applyFont="1" applyBorder="1" applyAlignment="1">
      <alignment horizontal="center" vertical="center"/>
    </xf>
    <xf numFmtId="1" fontId="7" fillId="0" borderId="7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179" fontId="7" fillId="0" borderId="2" xfId="0" applyNumberFormat="1" applyFont="1" applyBorder="1" applyAlignment="1">
      <alignment horizontal="center" vertical="center"/>
    </xf>
    <xf numFmtId="179" fontId="7" fillId="0" borderId="4" xfId="0" applyNumberFormat="1" applyFont="1" applyBorder="1" applyAlignment="1">
      <alignment horizontal="center" vertical="center"/>
    </xf>
    <xf numFmtId="179" fontId="7" fillId="0" borderId="6" xfId="0" applyNumberFormat="1" applyFont="1" applyBorder="1" applyAlignment="1">
      <alignment horizontal="center" vertical="center"/>
    </xf>
    <xf numFmtId="179" fontId="7" fillId="0" borderId="7" xfId="0" applyNumberFormat="1" applyFont="1" applyBorder="1" applyAlignment="1">
      <alignment horizontal="center" vertical="center"/>
    </xf>
    <xf numFmtId="179" fontId="7" fillId="0" borderId="8" xfId="0" applyNumberFormat="1" applyFont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1" fontId="7" fillId="13" borderId="1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 vertical="center" wrapText="1"/>
    </xf>
    <xf numFmtId="1" fontId="7" fillId="13" borderId="2" xfId="0" applyNumberFormat="1" applyFont="1" applyFill="1" applyBorder="1" applyAlignment="1">
      <alignment horizontal="center" vertical="center"/>
    </xf>
    <xf numFmtId="1" fontId="7" fillId="13" borderId="1" xfId="0" applyNumberFormat="1" applyFont="1" applyFill="1" applyBorder="1" applyAlignment="1">
      <alignment horizontal="center" vertical="center"/>
    </xf>
    <xf numFmtId="177" fontId="7" fillId="0" borderId="4" xfId="0" applyNumberFormat="1" applyFont="1" applyBorder="1" applyAlignment="1">
      <alignment horizontal="center" vertical="center" wrapText="1"/>
    </xf>
    <xf numFmtId="179" fontId="7" fillId="13" borderId="1" xfId="0" applyNumberFormat="1" applyFont="1" applyFill="1" applyBorder="1" applyAlignment="1">
      <alignment horizontal="center" vertical="center"/>
    </xf>
    <xf numFmtId="177" fontId="7" fillId="13" borderId="1" xfId="0" applyNumberFormat="1" applyFont="1" applyFill="1" applyBorder="1" applyAlignment="1">
      <alignment horizontal="center" vertical="center" wrapText="1"/>
    </xf>
    <xf numFmtId="177" fontId="7" fillId="13" borderId="1" xfId="0" applyNumberFormat="1" applyFont="1" applyFill="1" applyBorder="1" applyAlignment="1">
      <alignment horizontal="center" vertical="center"/>
    </xf>
    <xf numFmtId="0" fontId="0" fillId="0" borderId="11" xfId="0" applyBorder="1"/>
    <xf numFmtId="0" fontId="1" fillId="0" borderId="11" xfId="0" applyFont="1" applyBorder="1" applyAlignment="1">
      <alignment horizontal="center" vertical="center"/>
    </xf>
    <xf numFmtId="176" fontId="1" fillId="0" borderId="11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176" fontId="1" fillId="0" borderId="11" xfId="0" applyNumberFormat="1" applyFont="1" applyBorder="1" applyAlignment="1">
      <alignment horizontal="center" vertical="center" wrapText="1"/>
    </xf>
    <xf numFmtId="177" fontId="1" fillId="0" borderId="11" xfId="0" applyNumberFormat="1" applyFont="1" applyBorder="1" applyAlignment="1">
      <alignment horizontal="center" vertical="center" wrapText="1"/>
    </xf>
    <xf numFmtId="0" fontId="1" fillId="9" borderId="1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2" fontId="1" fillId="0" borderId="11" xfId="0" applyNumberFormat="1" applyFont="1" applyBorder="1" applyAlignment="1">
      <alignment horizontal="center" vertical="center"/>
    </xf>
    <xf numFmtId="177" fontId="1" fillId="0" borderId="11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/>
    </xf>
    <xf numFmtId="0" fontId="1" fillId="14" borderId="11" xfId="0" applyFont="1" applyFill="1" applyBorder="1" applyAlignment="1">
      <alignment horizontal="center" vertical="center"/>
    </xf>
    <xf numFmtId="0" fontId="1" fillId="14" borderId="11" xfId="0" applyFont="1" applyFill="1" applyBorder="1" applyAlignment="1">
      <alignment horizontal="center" vertical="center" wrapText="1"/>
    </xf>
    <xf numFmtId="177" fontId="1" fillId="14" borderId="11" xfId="0" applyNumberFormat="1" applyFont="1" applyFill="1" applyBorder="1" applyAlignment="1">
      <alignment horizontal="center" vertical="center" wrapText="1"/>
    </xf>
    <xf numFmtId="176" fontId="1" fillId="14" borderId="11" xfId="0" applyNumberFormat="1" applyFont="1" applyFill="1" applyBorder="1" applyAlignment="1">
      <alignment horizontal="center" vertical="center" wrapText="1"/>
    </xf>
    <xf numFmtId="176" fontId="1" fillId="14" borderId="11" xfId="0" applyNumberFormat="1" applyFont="1" applyFill="1" applyBorder="1" applyAlignment="1">
      <alignment horizontal="center" vertical="center"/>
    </xf>
    <xf numFmtId="0" fontId="2" fillId="14" borderId="11" xfId="0" applyFont="1" applyFill="1" applyBorder="1" applyAlignment="1">
      <alignment horizontal="center" vertical="center" wrapText="1"/>
    </xf>
    <xf numFmtId="2" fontId="1" fillId="14" borderId="11" xfId="0" applyNumberFormat="1" applyFont="1" applyFill="1" applyBorder="1" applyAlignment="1">
      <alignment horizontal="center" vertical="center"/>
    </xf>
    <xf numFmtId="0" fontId="0" fillId="14" borderId="11" xfId="0" applyFill="1" applyBorder="1"/>
    <xf numFmtId="177" fontId="1" fillId="14" borderId="11" xfId="0" applyNumberFormat="1" applyFont="1" applyFill="1" applyBorder="1" applyAlignment="1">
      <alignment horizontal="center" vertical="center"/>
    </xf>
    <xf numFmtId="178" fontId="1" fillId="14" borderId="11" xfId="0" applyNumberFormat="1" applyFont="1" applyFill="1" applyBorder="1" applyAlignment="1">
      <alignment horizontal="center" vertical="center"/>
    </xf>
    <xf numFmtId="0" fontId="1" fillId="14" borderId="11" xfId="0" applyFont="1" applyFill="1" applyBorder="1" applyAlignment="1">
      <alignment horizontal="center" vertical="center"/>
    </xf>
    <xf numFmtId="0" fontId="1" fillId="14" borderId="11" xfId="0" applyFont="1" applyFill="1" applyBorder="1" applyAlignment="1">
      <alignment horizontal="center" vertical="center" wrapText="1"/>
    </xf>
    <xf numFmtId="0" fontId="3" fillId="14" borderId="11" xfId="0" applyFont="1" applyFill="1" applyBorder="1" applyAlignment="1">
      <alignment horizontal="center" vertical="center" wrapText="1"/>
    </xf>
    <xf numFmtId="0" fontId="3" fillId="14" borderId="11" xfId="0" applyFont="1" applyFill="1" applyBorder="1" applyAlignment="1">
      <alignment horizontal="center" vertical="center"/>
    </xf>
    <xf numFmtId="0" fontId="3" fillId="14" borderId="11" xfId="0" applyFont="1" applyFill="1" applyBorder="1" applyAlignment="1">
      <alignment horizontal="center" vertical="center" wrapText="1"/>
    </xf>
    <xf numFmtId="0" fontId="4" fillId="14" borderId="11" xfId="0" applyFont="1" applyFill="1" applyBorder="1" applyAlignment="1">
      <alignment horizontal="center" vertical="center" wrapText="1"/>
    </xf>
    <xf numFmtId="0" fontId="5" fillId="14" borderId="11" xfId="0" applyFont="1" applyFill="1" applyBorder="1" applyAlignment="1">
      <alignment horizontal="center" vertical="center" wrapText="1"/>
    </xf>
    <xf numFmtId="176" fontId="1" fillId="14" borderId="11" xfId="0" applyNumberFormat="1" applyFont="1" applyFill="1" applyBorder="1" applyAlignment="1">
      <alignment horizontal="center" vertical="center"/>
    </xf>
    <xf numFmtId="1" fontId="1" fillId="14" borderId="11" xfId="0" applyNumberFormat="1" applyFont="1" applyFill="1" applyBorder="1" applyAlignment="1">
      <alignment horizontal="center" vertical="center"/>
    </xf>
    <xf numFmtId="0" fontId="1" fillId="14" borderId="11" xfId="0" applyFont="1" applyFill="1" applyBorder="1"/>
    <xf numFmtId="176" fontId="0" fillId="14" borderId="11" xfId="0" applyNumberFormat="1" applyFill="1" applyBorder="1"/>
    <xf numFmtId="177" fontId="0" fillId="14" borderId="11" xfId="0" applyNumberFormat="1" applyFill="1" applyBorder="1"/>
    <xf numFmtId="0" fontId="1" fillId="9" borderId="15" xfId="0" applyFont="1" applyFill="1" applyBorder="1" applyAlignment="1">
      <alignment horizontal="center" vertical="center" wrapText="1"/>
    </xf>
    <xf numFmtId="0" fontId="1" fillId="9" borderId="16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177" fontId="1" fillId="0" borderId="16" xfId="0" applyNumberFormat="1" applyFont="1" applyBorder="1" applyAlignment="1">
      <alignment horizontal="center" vertical="center" wrapText="1"/>
    </xf>
    <xf numFmtId="176" fontId="1" fillId="0" borderId="16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2" fontId="1" fillId="0" borderId="17" xfId="0" applyNumberFormat="1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1" fillId="9" borderId="23" xfId="0" applyFont="1" applyFill="1" applyBorder="1" applyAlignment="1">
      <alignment horizontal="center" vertical="center"/>
    </xf>
    <xf numFmtId="0" fontId="1" fillId="9" borderId="24" xfId="0" applyFont="1" applyFill="1" applyBorder="1" applyAlignment="1">
      <alignment horizontal="center" vertical="center"/>
    </xf>
    <xf numFmtId="0" fontId="1" fillId="9" borderId="25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10" borderId="27" xfId="0" applyFont="1" applyFill="1" applyBorder="1" applyAlignment="1">
      <alignment horizontal="center" vertical="center" wrapText="1"/>
    </xf>
    <xf numFmtId="0" fontId="1" fillId="11" borderId="27" xfId="0" applyFont="1" applyFill="1" applyBorder="1" applyAlignment="1">
      <alignment horizontal="center" vertical="center" wrapText="1"/>
    </xf>
    <xf numFmtId="0" fontId="1" fillId="11" borderId="28" xfId="0" applyFont="1" applyFill="1" applyBorder="1" applyAlignment="1">
      <alignment horizontal="center" vertical="center" wrapText="1"/>
    </xf>
    <xf numFmtId="0" fontId="1" fillId="9" borderId="29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0" fillId="0" borderId="32" xfId="0" applyBorder="1"/>
    <xf numFmtId="0" fontId="1" fillId="9" borderId="34" xfId="0" applyFont="1" applyFill="1" applyBorder="1" applyAlignment="1">
      <alignment horizontal="center" vertical="center"/>
    </xf>
    <xf numFmtId="0" fontId="1" fillId="9" borderId="35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 wrapText="1"/>
    </xf>
    <xf numFmtId="0" fontId="1" fillId="12" borderId="27" xfId="0" applyFont="1" applyFill="1" applyBorder="1" applyAlignment="1">
      <alignment horizontal="center" vertical="center" wrapText="1"/>
    </xf>
    <xf numFmtId="0" fontId="1" fillId="12" borderId="33" xfId="0" applyFont="1" applyFill="1" applyBorder="1" applyAlignment="1">
      <alignment horizontal="center" vertical="center" wrapText="1"/>
    </xf>
    <xf numFmtId="0" fontId="1" fillId="9" borderId="36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center" wrapText="1"/>
    </xf>
    <xf numFmtId="0" fontId="1" fillId="9" borderId="33" xfId="0" applyFont="1" applyFill="1" applyBorder="1" applyAlignment="1">
      <alignment horizontal="center" vertical="center" wrapText="1"/>
    </xf>
    <xf numFmtId="0" fontId="1" fillId="10" borderId="37" xfId="0" applyFont="1" applyFill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1" fillId="9" borderId="38" xfId="0" applyFont="1" applyFill="1" applyBorder="1" applyAlignment="1">
      <alignment horizontal="center" vertical="center"/>
    </xf>
    <xf numFmtId="0" fontId="1" fillId="9" borderId="39" xfId="0" applyFont="1" applyFill="1" applyBorder="1" applyAlignment="1">
      <alignment horizontal="center" vertical="center"/>
    </xf>
    <xf numFmtId="0" fontId="1" fillId="9" borderId="37" xfId="0" applyFont="1" applyFill="1" applyBorder="1" applyAlignment="1">
      <alignment horizontal="center" vertical="center" wrapText="1"/>
    </xf>
    <xf numFmtId="0" fontId="0" fillId="0" borderId="40" xfId="0" applyBorder="1"/>
    <xf numFmtId="0" fontId="3" fillId="0" borderId="41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 wrapText="1"/>
    </xf>
    <xf numFmtId="177" fontId="1" fillId="0" borderId="40" xfId="0" applyNumberFormat="1" applyFont="1" applyBorder="1" applyAlignment="1">
      <alignment horizontal="center" vertical="center" wrapText="1"/>
    </xf>
    <xf numFmtId="176" fontId="1" fillId="0" borderId="40" xfId="0" applyNumberFormat="1" applyFont="1" applyBorder="1" applyAlignment="1">
      <alignment horizontal="center" vertical="center"/>
    </xf>
    <xf numFmtId="0" fontId="1" fillId="9" borderId="40" xfId="0" applyFont="1" applyFill="1" applyBorder="1" applyAlignment="1">
      <alignment horizontal="center" vertical="center"/>
    </xf>
    <xf numFmtId="0" fontId="2" fillId="0" borderId="40" xfId="0" applyFont="1" applyBorder="1" applyAlignment="1">
      <alignment horizontal="center" vertical="center" wrapText="1"/>
    </xf>
    <xf numFmtId="0" fontId="1" fillId="9" borderId="42" xfId="0" applyFont="1" applyFill="1" applyBorder="1" applyAlignment="1">
      <alignment horizontal="center" vertical="center"/>
    </xf>
    <xf numFmtId="0" fontId="1" fillId="0" borderId="43" xfId="0" applyFont="1" applyBorder="1" applyAlignment="1">
      <alignment horizontal="center" vertical="center" wrapText="1"/>
    </xf>
    <xf numFmtId="176" fontId="1" fillId="0" borderId="44" xfId="0" applyNumberFormat="1" applyFont="1" applyBorder="1" applyAlignment="1">
      <alignment horizontal="center" vertical="center"/>
    </xf>
    <xf numFmtId="1" fontId="1" fillId="0" borderId="44" xfId="0" applyNumberFormat="1" applyFont="1" applyBorder="1" applyAlignment="1">
      <alignment horizontal="center" vertical="center"/>
    </xf>
    <xf numFmtId="0" fontId="1" fillId="9" borderId="44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 wrapText="1"/>
    </xf>
    <xf numFmtId="2" fontId="1" fillId="0" borderId="45" xfId="0" applyNumberFormat="1" applyFont="1" applyBorder="1" applyAlignment="1">
      <alignment horizontal="center" vertical="center"/>
    </xf>
    <xf numFmtId="176" fontId="1" fillId="0" borderId="44" xfId="0" applyNumberFormat="1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177" fontId="1" fillId="0" borderId="44" xfId="0" applyNumberFormat="1" applyFont="1" applyBorder="1" applyAlignment="1">
      <alignment horizontal="center" vertical="center" wrapText="1"/>
    </xf>
    <xf numFmtId="176" fontId="1" fillId="0" borderId="44" xfId="0" applyNumberFormat="1" applyFont="1" applyBorder="1" applyAlignment="1">
      <alignment horizontal="center" vertical="center" wrapText="1"/>
    </xf>
    <xf numFmtId="176" fontId="1" fillId="0" borderId="46" xfId="0" applyNumberFormat="1" applyFont="1" applyBorder="1" applyAlignment="1">
      <alignment horizontal="center" vertical="center"/>
    </xf>
    <xf numFmtId="2" fontId="1" fillId="0" borderId="46" xfId="0" applyNumberFormat="1" applyFont="1" applyBorder="1" applyAlignment="1">
      <alignment horizontal="center" vertical="center"/>
    </xf>
    <xf numFmtId="0" fontId="1" fillId="9" borderId="46" xfId="0" applyFont="1" applyFill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 wrapText="1"/>
    </xf>
    <xf numFmtId="1" fontId="1" fillId="0" borderId="46" xfId="0" applyNumberFormat="1" applyFont="1" applyBorder="1" applyAlignment="1">
      <alignment horizontal="center" vertical="center"/>
    </xf>
    <xf numFmtId="2" fontId="1" fillId="0" borderId="47" xfId="0" applyNumberFormat="1" applyFont="1" applyBorder="1" applyAlignment="1">
      <alignment horizontal="center" vertical="center"/>
    </xf>
    <xf numFmtId="176" fontId="1" fillId="0" borderId="46" xfId="0" applyNumberFormat="1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 wrapText="1"/>
    </xf>
    <xf numFmtId="177" fontId="1" fillId="0" borderId="46" xfId="0" applyNumberFormat="1" applyFont="1" applyBorder="1" applyAlignment="1">
      <alignment horizontal="center" vertical="center" wrapText="1"/>
    </xf>
    <xf numFmtId="176" fontId="1" fillId="0" borderId="46" xfId="0" applyNumberFormat="1" applyFont="1" applyBorder="1" applyAlignment="1">
      <alignment horizontal="center" vertical="center" wrapText="1"/>
    </xf>
    <xf numFmtId="177" fontId="1" fillId="0" borderId="43" xfId="0" applyNumberFormat="1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177" fontId="1" fillId="0" borderId="46" xfId="0" applyNumberFormat="1" applyFont="1" applyBorder="1" applyAlignment="1">
      <alignment horizontal="center" vertical="center"/>
    </xf>
    <xf numFmtId="178" fontId="1" fillId="0" borderId="46" xfId="0" applyNumberFormat="1" applyFont="1" applyBorder="1" applyAlignment="1">
      <alignment horizontal="center" vertical="center"/>
    </xf>
    <xf numFmtId="177" fontId="1" fillId="0" borderId="49" xfId="0" applyNumberFormat="1" applyFont="1" applyBorder="1" applyAlignment="1">
      <alignment horizontal="center" vertical="center" wrapText="1"/>
    </xf>
    <xf numFmtId="176" fontId="1" fillId="0" borderId="20" xfId="0" applyNumberFormat="1" applyFont="1" applyBorder="1" applyAlignment="1">
      <alignment horizontal="center" vertical="center"/>
    </xf>
    <xf numFmtId="177" fontId="1" fillId="0" borderId="20" xfId="0" applyNumberFormat="1" applyFont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/>
    </xf>
    <xf numFmtId="2" fontId="1" fillId="0" borderId="50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177" fontId="1" fillId="0" borderId="20" xfId="0" applyNumberFormat="1" applyFont="1" applyBorder="1" applyAlignment="1">
      <alignment horizontal="center" vertical="center" wrapText="1"/>
    </xf>
    <xf numFmtId="176" fontId="1" fillId="0" borderId="20" xfId="0" applyNumberFormat="1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4" fillId="0" borderId="51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 wrapText="1"/>
    </xf>
    <xf numFmtId="177" fontId="1" fillId="0" borderId="53" xfId="0" applyNumberFormat="1" applyFont="1" applyBorder="1" applyAlignment="1">
      <alignment horizontal="center" vertical="center" wrapText="1"/>
    </xf>
    <xf numFmtId="176" fontId="1" fillId="0" borderId="53" xfId="0" applyNumberFormat="1" applyFont="1" applyBorder="1" applyAlignment="1">
      <alignment horizontal="center" vertical="center" wrapText="1"/>
    </xf>
    <xf numFmtId="176" fontId="1" fillId="0" borderId="53" xfId="0" applyNumberFormat="1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9" borderId="53" xfId="0" applyFont="1" applyFill="1" applyBorder="1" applyAlignment="1">
      <alignment horizontal="center" vertical="center"/>
    </xf>
    <xf numFmtId="0" fontId="2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2" fontId="1" fillId="9" borderId="46" xfId="0" applyNumberFormat="1" applyFont="1" applyFill="1" applyBorder="1" applyAlignment="1">
      <alignment horizontal="center" vertical="center"/>
    </xf>
    <xf numFmtId="177" fontId="1" fillId="9" borderId="46" xfId="0" applyNumberFormat="1" applyFont="1" applyFill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10" borderId="58" xfId="0" applyFont="1" applyFill="1" applyBorder="1" applyAlignment="1">
      <alignment horizontal="center" vertical="center" wrapText="1"/>
    </xf>
    <xf numFmtId="0" fontId="1" fillId="10" borderId="59" xfId="0" applyFont="1" applyFill="1" applyBorder="1" applyAlignment="1">
      <alignment horizontal="center" vertical="center" wrapText="1"/>
    </xf>
    <xf numFmtId="0" fontId="1" fillId="10" borderId="60" xfId="0" applyFont="1" applyFill="1" applyBorder="1" applyAlignment="1">
      <alignment horizontal="center" vertical="center" wrapText="1"/>
    </xf>
    <xf numFmtId="0" fontId="1" fillId="0" borderId="44" xfId="0" applyNumberFormat="1" applyFont="1" applyBorder="1" applyAlignment="1">
      <alignment horizontal="center" vertical="center"/>
    </xf>
    <xf numFmtId="0" fontId="1" fillId="0" borderId="46" xfId="0" applyNumberFormat="1" applyFont="1" applyBorder="1" applyAlignment="1">
      <alignment horizontal="center" vertical="center"/>
    </xf>
    <xf numFmtId="0" fontId="1" fillId="0" borderId="20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E207"/>
  <sheetViews>
    <sheetView showGridLines="0" tabSelected="1" topLeftCell="G4" zoomScale="101" workbookViewId="0">
      <selection activeCell="N6" sqref="N6:O6"/>
    </sheetView>
  </sheetViews>
  <sheetFormatPr baseColWidth="10" defaultColWidth="8.83203125" defaultRowHeight="14"/>
  <cols>
    <col min="1" max="3" width="4.6640625" customWidth="1"/>
    <col min="4" max="4" width="8.6640625" customWidth="1"/>
    <col min="5" max="5" width="10.6640625" customWidth="1"/>
    <col min="6" max="11" width="6.6640625" customWidth="1"/>
    <col min="12" max="20" width="5.6640625" customWidth="1"/>
    <col min="21" max="21" width="12.6640625" customWidth="1"/>
    <col min="22" max="30" width="6.6640625" customWidth="1"/>
  </cols>
  <sheetData>
    <row r="2" spans="2:30">
      <c r="B2" s="15" t="s">
        <v>66</v>
      </c>
    </row>
    <row r="3" spans="2:30" ht="15" thickBot="1"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</row>
    <row r="4" spans="2:30" ht="28" customHeight="1">
      <c r="B4" s="160" t="s">
        <v>51</v>
      </c>
      <c r="C4" s="95" t="s">
        <v>67</v>
      </c>
      <c r="D4" s="95" t="s">
        <v>68</v>
      </c>
      <c r="E4" s="95" t="s">
        <v>69</v>
      </c>
      <c r="F4" s="96" t="s">
        <v>70</v>
      </c>
      <c r="G4" s="96" t="s">
        <v>71</v>
      </c>
      <c r="H4" s="96" t="s">
        <v>72</v>
      </c>
      <c r="I4" s="96" t="s">
        <v>73</v>
      </c>
      <c r="J4" s="96" t="s">
        <v>74</v>
      </c>
      <c r="K4" s="96" t="s">
        <v>75</v>
      </c>
      <c r="L4" s="97" t="s">
        <v>76</v>
      </c>
      <c r="M4" s="97"/>
      <c r="N4" s="97"/>
      <c r="O4" s="97"/>
      <c r="P4" s="97"/>
      <c r="Q4" s="97"/>
      <c r="R4" s="97"/>
      <c r="S4" s="97"/>
      <c r="T4" s="97"/>
      <c r="U4" s="97" t="s">
        <v>77</v>
      </c>
      <c r="V4" s="97"/>
      <c r="W4" s="97" t="s">
        <v>78</v>
      </c>
      <c r="X4" s="97"/>
      <c r="Y4" s="97"/>
      <c r="Z4" s="97"/>
      <c r="AA4" s="97" t="s">
        <v>79</v>
      </c>
      <c r="AB4" s="97"/>
      <c r="AC4" s="97" t="s">
        <v>80</v>
      </c>
      <c r="AD4" s="162" t="s">
        <v>81</v>
      </c>
    </row>
    <row r="5" spans="2:30" ht="42" customHeight="1" thickBot="1">
      <c r="B5" s="154"/>
      <c r="C5" s="132"/>
      <c r="D5" s="132"/>
      <c r="E5" s="132" t="s">
        <v>82</v>
      </c>
      <c r="F5" s="131" t="s">
        <v>83</v>
      </c>
      <c r="G5" s="131" t="s">
        <v>84</v>
      </c>
      <c r="H5" s="131" t="s">
        <v>85</v>
      </c>
      <c r="I5" s="131" t="s">
        <v>86</v>
      </c>
      <c r="J5" s="157" t="s">
        <v>87</v>
      </c>
      <c r="K5" s="157" t="s">
        <v>88</v>
      </c>
      <c r="L5" s="131" t="s">
        <v>89</v>
      </c>
      <c r="M5" s="131" t="s">
        <v>90</v>
      </c>
      <c r="N5" s="131" t="s">
        <v>91</v>
      </c>
      <c r="O5" s="131" t="s">
        <v>92</v>
      </c>
      <c r="P5" s="131" t="s">
        <v>93</v>
      </c>
      <c r="Q5" s="131" t="s">
        <v>94</v>
      </c>
      <c r="R5" s="131" t="s">
        <v>95</v>
      </c>
      <c r="S5" s="131" t="s">
        <v>96</v>
      </c>
      <c r="T5" s="131" t="s">
        <v>97</v>
      </c>
      <c r="U5" s="131" t="s">
        <v>77</v>
      </c>
      <c r="V5" s="131" t="s">
        <v>98</v>
      </c>
      <c r="W5" s="131" t="s">
        <v>99</v>
      </c>
      <c r="X5" s="131" t="s">
        <v>100</v>
      </c>
      <c r="Y5" s="131" t="s">
        <v>101</v>
      </c>
      <c r="Z5" s="131" t="s">
        <v>102</v>
      </c>
      <c r="AA5" s="131" t="s">
        <v>103</v>
      </c>
      <c r="AB5" s="131" t="s">
        <v>104</v>
      </c>
      <c r="AC5" s="133" t="s">
        <v>105</v>
      </c>
      <c r="AD5" s="156" t="s">
        <v>106</v>
      </c>
    </row>
    <row r="6" spans="2:30" ht="19" customHeight="1">
      <c r="B6" s="159" t="s">
        <v>107</v>
      </c>
      <c r="C6" s="228"/>
      <c r="D6" s="145" t="s">
        <v>108</v>
      </c>
      <c r="E6" s="178" t="s">
        <v>109</v>
      </c>
      <c r="F6" s="178"/>
      <c r="G6" s="178"/>
      <c r="H6" s="179"/>
      <c r="I6" s="180"/>
      <c r="J6" s="180"/>
      <c r="K6" s="180"/>
      <c r="L6" s="171">
        <v>41.7</v>
      </c>
      <c r="M6" s="171">
        <v>44.6</v>
      </c>
      <c r="N6" s="177">
        <v>13.7</v>
      </c>
      <c r="O6" s="177"/>
      <c r="P6" s="171">
        <f t="shared" ref="P6:P25" si="0">SUM(N6:O6)</f>
        <v>13.7</v>
      </c>
      <c r="Q6" s="231">
        <v>19</v>
      </c>
      <c r="R6" s="231">
        <v>1.3</v>
      </c>
      <c r="S6" s="173"/>
      <c r="T6" s="174"/>
      <c r="U6" s="175" t="s">
        <v>23</v>
      </c>
      <c r="V6" s="174" t="s">
        <v>39</v>
      </c>
      <c r="W6" s="171"/>
      <c r="X6" s="171"/>
      <c r="Y6" s="171"/>
      <c r="Z6" s="171"/>
      <c r="AA6" s="174"/>
      <c r="AB6" s="171"/>
      <c r="AC6" s="174"/>
      <c r="AD6" s="220"/>
    </row>
    <row r="7" spans="2:30" ht="19" customHeight="1">
      <c r="B7" s="158"/>
      <c r="C7" s="229"/>
      <c r="D7" s="90" t="s">
        <v>111</v>
      </c>
      <c r="E7" s="189" t="s">
        <v>112</v>
      </c>
      <c r="F7" s="190"/>
      <c r="G7" s="190"/>
      <c r="H7" s="190"/>
      <c r="I7" s="191"/>
      <c r="J7" s="191"/>
      <c r="K7" s="191"/>
      <c r="L7" s="181">
        <v>30.7</v>
      </c>
      <c r="M7" s="181">
        <v>45.9</v>
      </c>
      <c r="N7" s="188">
        <v>23.4</v>
      </c>
      <c r="O7" s="188"/>
      <c r="P7" s="181">
        <f t="shared" si="0"/>
        <v>23.4</v>
      </c>
      <c r="Q7" s="232">
        <v>19</v>
      </c>
      <c r="R7" s="232">
        <v>0.57999999999999996</v>
      </c>
      <c r="S7" s="183"/>
      <c r="T7" s="184"/>
      <c r="U7" s="185" t="s">
        <v>21</v>
      </c>
      <c r="V7" s="184" t="s">
        <v>113</v>
      </c>
      <c r="W7" s="181"/>
      <c r="X7" s="181"/>
      <c r="Y7" s="181"/>
      <c r="Z7" s="181"/>
      <c r="AA7" s="184"/>
      <c r="AB7" s="181"/>
      <c r="AC7" s="184"/>
      <c r="AD7" s="221"/>
    </row>
    <row r="8" spans="2:30" ht="19" customHeight="1">
      <c r="B8" s="158"/>
      <c r="C8" s="229"/>
      <c r="D8" s="90" t="s">
        <v>114</v>
      </c>
      <c r="E8" s="189" t="s">
        <v>115</v>
      </c>
      <c r="F8" s="190"/>
      <c r="G8" s="190"/>
      <c r="H8" s="190"/>
      <c r="I8" s="191"/>
      <c r="J8" s="191"/>
      <c r="K8" s="191"/>
      <c r="L8" s="181">
        <v>21.5</v>
      </c>
      <c r="M8" s="181">
        <v>43.8</v>
      </c>
      <c r="N8" s="188">
        <v>34.700000000000003</v>
      </c>
      <c r="O8" s="188"/>
      <c r="P8" s="181">
        <f t="shared" si="0"/>
        <v>34.700000000000003</v>
      </c>
      <c r="Q8" s="232">
        <v>19</v>
      </c>
      <c r="R8" s="232">
        <v>0.26</v>
      </c>
      <c r="S8" s="183"/>
      <c r="T8" s="184"/>
      <c r="U8" s="185" t="s">
        <v>21</v>
      </c>
      <c r="V8" s="184" t="s">
        <v>113</v>
      </c>
      <c r="W8" s="181"/>
      <c r="X8" s="181"/>
      <c r="Y8" s="181"/>
      <c r="Z8" s="181"/>
      <c r="AA8" s="184"/>
      <c r="AB8" s="181"/>
      <c r="AC8" s="184"/>
      <c r="AD8" s="221"/>
    </row>
    <row r="9" spans="2:30" ht="19" customHeight="1">
      <c r="B9" s="158"/>
      <c r="C9" s="229"/>
      <c r="D9" s="90" t="s">
        <v>116</v>
      </c>
      <c r="E9" s="189" t="s">
        <v>117</v>
      </c>
      <c r="F9" s="190"/>
      <c r="G9" s="190"/>
      <c r="H9" s="190">
        <v>2.6459999999999999</v>
      </c>
      <c r="I9" s="191"/>
      <c r="J9" s="191"/>
      <c r="K9" s="191"/>
      <c r="L9" s="181">
        <v>14.2</v>
      </c>
      <c r="M9" s="181">
        <v>48.6</v>
      </c>
      <c r="N9" s="181">
        <v>13.1</v>
      </c>
      <c r="O9" s="181">
        <v>24.1</v>
      </c>
      <c r="P9" s="181">
        <f t="shared" si="0"/>
        <v>37.200000000000003</v>
      </c>
      <c r="Q9" s="232">
        <v>9.5</v>
      </c>
      <c r="R9" s="232">
        <v>0.16</v>
      </c>
      <c r="S9" s="183"/>
      <c r="T9" s="184"/>
      <c r="U9" s="185" t="s">
        <v>25</v>
      </c>
      <c r="V9" s="184" t="s">
        <v>41</v>
      </c>
      <c r="W9" s="181">
        <v>38.200000000000003</v>
      </c>
      <c r="X9" s="181">
        <v>19.899999999999999</v>
      </c>
      <c r="Y9" s="181">
        <v>18.3</v>
      </c>
      <c r="Z9" s="181"/>
      <c r="AA9" s="184"/>
      <c r="AB9" s="181"/>
      <c r="AC9" s="184"/>
      <c r="AD9" s="221"/>
    </row>
    <row r="10" spans="2:30" ht="19" customHeight="1">
      <c r="B10" s="158"/>
      <c r="C10" s="229"/>
      <c r="D10" s="90" t="s">
        <v>120</v>
      </c>
      <c r="E10" s="189" t="s">
        <v>121</v>
      </c>
      <c r="F10" s="190"/>
      <c r="G10" s="190"/>
      <c r="H10" s="190"/>
      <c r="I10" s="191"/>
      <c r="J10" s="191"/>
      <c r="K10" s="191"/>
      <c r="L10" s="181">
        <v>34.5</v>
      </c>
      <c r="M10" s="181">
        <v>54.7</v>
      </c>
      <c r="N10" s="188">
        <v>10.8</v>
      </c>
      <c r="O10" s="188"/>
      <c r="P10" s="181">
        <f t="shared" si="0"/>
        <v>10.8</v>
      </c>
      <c r="Q10" s="232">
        <v>26.5</v>
      </c>
      <c r="R10" s="232">
        <v>0.95</v>
      </c>
      <c r="S10" s="183"/>
      <c r="T10" s="184"/>
      <c r="U10" s="185" t="s">
        <v>23</v>
      </c>
      <c r="V10" s="184" t="s">
        <v>39</v>
      </c>
      <c r="W10" s="181"/>
      <c r="X10" s="181"/>
      <c r="Y10" s="181"/>
      <c r="Z10" s="181"/>
      <c r="AA10" s="184"/>
      <c r="AB10" s="181"/>
      <c r="AC10" s="184"/>
      <c r="AD10" s="221"/>
    </row>
    <row r="11" spans="2:30" ht="19" customHeight="1">
      <c r="B11" s="158"/>
      <c r="C11" s="229"/>
      <c r="D11" s="90" t="s">
        <v>123</v>
      </c>
      <c r="E11" s="189" t="s">
        <v>124</v>
      </c>
      <c r="F11" s="189"/>
      <c r="G11" s="189"/>
      <c r="H11" s="190"/>
      <c r="I11" s="191"/>
      <c r="J11" s="191"/>
      <c r="K11" s="191"/>
      <c r="L11" s="181">
        <v>40.9</v>
      </c>
      <c r="M11" s="181">
        <v>45</v>
      </c>
      <c r="N11" s="188">
        <v>14.1</v>
      </c>
      <c r="O11" s="188"/>
      <c r="P11" s="181">
        <f t="shared" si="0"/>
        <v>14.1</v>
      </c>
      <c r="Q11" s="232">
        <v>26.5</v>
      </c>
      <c r="R11" s="232">
        <v>1.3</v>
      </c>
      <c r="S11" s="183"/>
      <c r="T11" s="184"/>
      <c r="U11" s="185" t="s">
        <v>23</v>
      </c>
      <c r="V11" s="184" t="s">
        <v>39</v>
      </c>
      <c r="W11" s="181"/>
      <c r="X11" s="181"/>
      <c r="Y11" s="181"/>
      <c r="Z11" s="181"/>
      <c r="AA11" s="184"/>
      <c r="AB11" s="181"/>
      <c r="AC11" s="184"/>
      <c r="AD11" s="221"/>
    </row>
    <row r="12" spans="2:30" ht="19" customHeight="1">
      <c r="B12" s="158"/>
      <c r="C12" s="229"/>
      <c r="D12" s="90" t="s">
        <v>125</v>
      </c>
      <c r="E12" s="189" t="s">
        <v>126</v>
      </c>
      <c r="F12" s="189"/>
      <c r="G12" s="189"/>
      <c r="H12" s="190">
        <v>2.6509999999999998</v>
      </c>
      <c r="I12" s="191"/>
      <c r="J12" s="191"/>
      <c r="K12" s="191"/>
      <c r="L12" s="181">
        <v>20.3</v>
      </c>
      <c r="M12" s="181">
        <v>37.9</v>
      </c>
      <c r="N12" s="181">
        <v>13.7</v>
      </c>
      <c r="O12" s="181">
        <v>28.1</v>
      </c>
      <c r="P12" s="181">
        <f t="shared" si="0"/>
        <v>41.8</v>
      </c>
      <c r="Q12" s="232">
        <v>19</v>
      </c>
      <c r="R12" s="232">
        <v>0.22</v>
      </c>
      <c r="S12" s="222"/>
      <c r="T12" s="186"/>
      <c r="U12" s="185" t="s">
        <v>21</v>
      </c>
      <c r="V12" s="184" t="s">
        <v>113</v>
      </c>
      <c r="W12" s="181">
        <v>57.2</v>
      </c>
      <c r="X12" s="181">
        <v>26.6</v>
      </c>
      <c r="Y12" s="181">
        <v>30.6</v>
      </c>
      <c r="Z12" s="181"/>
      <c r="AA12" s="184"/>
      <c r="AB12" s="181"/>
      <c r="AC12" s="184"/>
      <c r="AD12" s="221"/>
    </row>
    <row r="13" spans="2:30" ht="19" customHeight="1">
      <c r="B13" s="158"/>
      <c r="C13" s="229"/>
      <c r="D13" s="90" t="s">
        <v>127</v>
      </c>
      <c r="E13" s="189" t="s">
        <v>128</v>
      </c>
      <c r="F13" s="189"/>
      <c r="G13" s="189"/>
      <c r="H13" s="190"/>
      <c r="I13" s="191"/>
      <c r="J13" s="191"/>
      <c r="K13" s="191"/>
      <c r="L13" s="181">
        <v>42.5</v>
      </c>
      <c r="M13" s="181">
        <v>31.6</v>
      </c>
      <c r="N13" s="188">
        <v>25.9</v>
      </c>
      <c r="O13" s="188"/>
      <c r="P13" s="181">
        <f t="shared" si="0"/>
        <v>25.9</v>
      </c>
      <c r="Q13" s="232">
        <v>37.5</v>
      </c>
      <c r="R13" s="232">
        <v>0.79</v>
      </c>
      <c r="S13" s="183"/>
      <c r="T13" s="184"/>
      <c r="U13" s="185" t="s">
        <v>131</v>
      </c>
      <c r="V13" s="184" t="s">
        <v>132</v>
      </c>
      <c r="W13" s="181"/>
      <c r="X13" s="181"/>
      <c r="Y13" s="181"/>
      <c r="Z13" s="181"/>
      <c r="AA13" s="184"/>
      <c r="AB13" s="184"/>
      <c r="AC13" s="184"/>
      <c r="AD13" s="221"/>
    </row>
    <row r="14" spans="2:30" ht="19" customHeight="1">
      <c r="B14" s="158"/>
      <c r="C14" s="229"/>
      <c r="D14" s="90" t="s">
        <v>133</v>
      </c>
      <c r="E14" s="189" t="s">
        <v>134</v>
      </c>
      <c r="F14" s="189"/>
      <c r="G14" s="189"/>
      <c r="H14" s="190"/>
      <c r="I14" s="191"/>
      <c r="J14" s="191"/>
      <c r="K14" s="191"/>
      <c r="L14" s="181">
        <v>28.3</v>
      </c>
      <c r="M14" s="181">
        <v>51.3</v>
      </c>
      <c r="N14" s="188">
        <v>20.399999999999999</v>
      </c>
      <c r="O14" s="188"/>
      <c r="P14" s="181">
        <f t="shared" si="0"/>
        <v>20.399999999999999</v>
      </c>
      <c r="Q14" s="232">
        <v>19</v>
      </c>
      <c r="R14" s="232">
        <v>0.53</v>
      </c>
      <c r="S14" s="183"/>
      <c r="T14" s="184"/>
      <c r="U14" s="185" t="s">
        <v>21</v>
      </c>
      <c r="V14" s="184" t="s">
        <v>113</v>
      </c>
      <c r="W14" s="181"/>
      <c r="X14" s="181"/>
      <c r="Y14" s="181"/>
      <c r="Z14" s="181"/>
      <c r="AA14" s="184"/>
      <c r="AB14" s="184"/>
      <c r="AC14" s="184"/>
      <c r="AD14" s="221"/>
    </row>
    <row r="15" spans="2:30" ht="19" customHeight="1">
      <c r="B15" s="158"/>
      <c r="C15" s="229"/>
      <c r="D15" s="90" t="s">
        <v>135</v>
      </c>
      <c r="E15" s="189" t="s">
        <v>136</v>
      </c>
      <c r="F15" s="189"/>
      <c r="G15" s="189"/>
      <c r="H15" s="190">
        <v>2.6509999999999998</v>
      </c>
      <c r="I15" s="191"/>
      <c r="J15" s="191"/>
      <c r="K15" s="191"/>
      <c r="L15" s="181">
        <v>22</v>
      </c>
      <c r="M15" s="181">
        <v>28.5</v>
      </c>
      <c r="N15" s="181">
        <v>21.5</v>
      </c>
      <c r="O15" s="181">
        <v>28</v>
      </c>
      <c r="P15" s="181">
        <f t="shared" si="0"/>
        <v>49.5</v>
      </c>
      <c r="Q15" s="232">
        <v>26.5</v>
      </c>
      <c r="R15" s="232">
        <v>8.3000000000000004E-2</v>
      </c>
      <c r="S15" s="222"/>
      <c r="T15" s="194"/>
      <c r="U15" s="185" t="s">
        <v>21</v>
      </c>
      <c r="V15" s="184" t="s">
        <v>113</v>
      </c>
      <c r="W15" s="181">
        <v>78.5</v>
      </c>
      <c r="X15" s="181">
        <v>31.7</v>
      </c>
      <c r="Y15" s="181">
        <v>46.8</v>
      </c>
      <c r="Z15" s="181"/>
      <c r="AA15" s="184"/>
      <c r="AB15" s="184"/>
      <c r="AC15" s="184"/>
      <c r="AD15" s="221"/>
    </row>
    <row r="16" spans="2:30" ht="19" customHeight="1">
      <c r="B16" s="158"/>
      <c r="C16" s="229"/>
      <c r="D16" s="90" t="s">
        <v>137</v>
      </c>
      <c r="E16" s="189" t="s">
        <v>138</v>
      </c>
      <c r="F16" s="189"/>
      <c r="G16" s="189"/>
      <c r="H16" s="190">
        <v>2.6779999999999999</v>
      </c>
      <c r="I16" s="191"/>
      <c r="J16" s="191"/>
      <c r="K16" s="191"/>
      <c r="L16" s="181">
        <v>16.8</v>
      </c>
      <c r="M16" s="181">
        <v>28.7</v>
      </c>
      <c r="N16" s="181">
        <v>12.7</v>
      </c>
      <c r="O16" s="181">
        <v>41.8</v>
      </c>
      <c r="P16" s="181">
        <f t="shared" si="0"/>
        <v>54.5</v>
      </c>
      <c r="Q16" s="232">
        <v>19</v>
      </c>
      <c r="R16" s="232">
        <v>2.9000000000000001E-2</v>
      </c>
      <c r="S16" s="183"/>
      <c r="T16" s="194"/>
      <c r="U16" s="185" t="s">
        <v>139</v>
      </c>
      <c r="V16" s="184" t="s">
        <v>140</v>
      </c>
      <c r="W16" s="181">
        <v>58.4</v>
      </c>
      <c r="X16" s="181">
        <v>23.3</v>
      </c>
      <c r="Y16" s="181">
        <v>35.1</v>
      </c>
      <c r="Z16" s="181"/>
      <c r="AA16" s="184"/>
      <c r="AB16" s="184"/>
      <c r="AC16" s="184"/>
      <c r="AD16" s="221"/>
    </row>
    <row r="17" spans="1:30" ht="19" customHeight="1">
      <c r="B17" s="158"/>
      <c r="C17" s="229"/>
      <c r="D17" s="90" t="s">
        <v>141</v>
      </c>
      <c r="E17" s="189" t="s">
        <v>142</v>
      </c>
      <c r="F17" s="189"/>
      <c r="G17" s="189"/>
      <c r="H17" s="190"/>
      <c r="I17" s="191"/>
      <c r="J17" s="191"/>
      <c r="K17" s="191"/>
      <c r="L17" s="181">
        <v>20.100000000000001</v>
      </c>
      <c r="M17" s="181">
        <v>57.7</v>
      </c>
      <c r="N17" s="188">
        <v>22.2</v>
      </c>
      <c r="O17" s="188"/>
      <c r="P17" s="181">
        <f t="shared" si="0"/>
        <v>22.2</v>
      </c>
      <c r="Q17" s="232">
        <v>19</v>
      </c>
      <c r="R17" s="232">
        <v>0.48</v>
      </c>
      <c r="S17" s="223"/>
      <c r="T17" s="194"/>
      <c r="U17" s="185" t="s">
        <v>21</v>
      </c>
      <c r="V17" s="184" t="s">
        <v>113</v>
      </c>
      <c r="W17" s="181"/>
      <c r="X17" s="181"/>
      <c r="Y17" s="181"/>
      <c r="Z17" s="181"/>
      <c r="AA17" s="184"/>
      <c r="AB17" s="184"/>
      <c r="AC17" s="184"/>
      <c r="AD17" s="221"/>
    </row>
    <row r="18" spans="1:30" ht="19" customHeight="1">
      <c r="B18" s="158"/>
      <c r="C18" s="229"/>
      <c r="D18" s="90" t="s">
        <v>143</v>
      </c>
      <c r="E18" s="189" t="s">
        <v>144</v>
      </c>
      <c r="F18" s="189"/>
      <c r="G18" s="189"/>
      <c r="H18" s="190"/>
      <c r="I18" s="191"/>
      <c r="J18" s="191"/>
      <c r="K18" s="191"/>
      <c r="L18" s="181">
        <v>56.8</v>
      </c>
      <c r="M18" s="181">
        <v>32.700000000000003</v>
      </c>
      <c r="N18" s="188">
        <v>10.5</v>
      </c>
      <c r="O18" s="188"/>
      <c r="P18" s="181">
        <f t="shared" si="0"/>
        <v>10.5</v>
      </c>
      <c r="Q18" s="232">
        <v>37.5</v>
      </c>
      <c r="R18" s="232">
        <v>3.5</v>
      </c>
      <c r="S18" s="183"/>
      <c r="T18" s="184"/>
      <c r="U18" s="185" t="s">
        <v>32</v>
      </c>
      <c r="V18" s="184" t="s">
        <v>50</v>
      </c>
      <c r="W18" s="181"/>
      <c r="X18" s="181"/>
      <c r="Y18" s="181"/>
      <c r="Z18" s="181"/>
      <c r="AA18" s="184"/>
      <c r="AB18" s="184"/>
      <c r="AC18" s="184"/>
      <c r="AD18" s="221"/>
    </row>
    <row r="19" spans="1:30" ht="19" customHeight="1">
      <c r="B19" s="158"/>
      <c r="C19" s="229"/>
      <c r="D19" s="90" t="s">
        <v>145</v>
      </c>
      <c r="E19" s="189" t="s">
        <v>146</v>
      </c>
      <c r="F19" s="189"/>
      <c r="G19" s="189"/>
      <c r="H19" s="190"/>
      <c r="I19" s="191"/>
      <c r="J19" s="191"/>
      <c r="K19" s="191"/>
      <c r="L19" s="181">
        <v>33.700000000000003</v>
      </c>
      <c r="M19" s="181">
        <v>41.2</v>
      </c>
      <c r="N19" s="188">
        <v>25.1</v>
      </c>
      <c r="O19" s="188"/>
      <c r="P19" s="181">
        <f t="shared" si="0"/>
        <v>25.1</v>
      </c>
      <c r="Q19" s="232">
        <v>26.5</v>
      </c>
      <c r="R19" s="232">
        <v>0.55000000000000004</v>
      </c>
      <c r="S19" s="183"/>
      <c r="T19" s="184"/>
      <c r="U19" s="185" t="s">
        <v>21</v>
      </c>
      <c r="V19" s="184" t="s">
        <v>113</v>
      </c>
      <c r="W19" s="181"/>
      <c r="X19" s="181"/>
      <c r="Y19" s="181"/>
      <c r="Z19" s="181"/>
      <c r="AA19" s="184"/>
      <c r="AB19" s="184"/>
      <c r="AC19" s="184"/>
      <c r="AD19" s="221"/>
    </row>
    <row r="20" spans="1:30" ht="19" customHeight="1">
      <c r="B20" s="158"/>
      <c r="C20" s="229"/>
      <c r="D20" s="90" t="s">
        <v>147</v>
      </c>
      <c r="E20" s="189" t="s">
        <v>148</v>
      </c>
      <c r="F20" s="189"/>
      <c r="G20" s="189"/>
      <c r="H20" s="190"/>
      <c r="I20" s="191"/>
      <c r="J20" s="191"/>
      <c r="K20" s="191"/>
      <c r="L20" s="181">
        <v>23</v>
      </c>
      <c r="M20" s="181">
        <v>46.3</v>
      </c>
      <c r="N20" s="188">
        <v>30.7</v>
      </c>
      <c r="O20" s="188"/>
      <c r="P20" s="181">
        <f t="shared" si="0"/>
        <v>30.7</v>
      </c>
      <c r="Q20" s="232">
        <v>19</v>
      </c>
      <c r="R20" s="232">
        <v>0.33</v>
      </c>
      <c r="S20" s="183"/>
      <c r="T20" s="184"/>
      <c r="U20" s="185" t="s">
        <v>21</v>
      </c>
      <c r="V20" s="184" t="s">
        <v>113</v>
      </c>
      <c r="W20" s="181"/>
      <c r="X20" s="181"/>
      <c r="Y20" s="181"/>
      <c r="Z20" s="181"/>
      <c r="AA20" s="184"/>
      <c r="AB20" s="184"/>
      <c r="AC20" s="184"/>
      <c r="AD20" s="221"/>
    </row>
    <row r="21" spans="1:30" ht="19" customHeight="1">
      <c r="B21" s="158"/>
      <c r="C21" s="229"/>
      <c r="D21" s="90" t="s">
        <v>150</v>
      </c>
      <c r="E21" s="189" t="s">
        <v>151</v>
      </c>
      <c r="F21" s="189"/>
      <c r="G21" s="189"/>
      <c r="H21" s="190"/>
      <c r="I21" s="191"/>
      <c r="J21" s="191"/>
      <c r="K21" s="191"/>
      <c r="L21" s="181">
        <v>26.4</v>
      </c>
      <c r="M21" s="181">
        <v>39.200000000000003</v>
      </c>
      <c r="N21" s="188">
        <v>34.4</v>
      </c>
      <c r="O21" s="188"/>
      <c r="P21" s="181">
        <f t="shared" si="0"/>
        <v>34.4</v>
      </c>
      <c r="Q21" s="232">
        <v>26.5</v>
      </c>
      <c r="R21" s="232">
        <v>0.28000000000000003</v>
      </c>
      <c r="S21" s="183"/>
      <c r="T21" s="184"/>
      <c r="U21" s="185" t="s">
        <v>21</v>
      </c>
      <c r="V21" s="184" t="s">
        <v>113</v>
      </c>
      <c r="W21" s="181"/>
      <c r="X21" s="181"/>
      <c r="Y21" s="181"/>
      <c r="Z21" s="181"/>
      <c r="AA21" s="184"/>
      <c r="AB21" s="184"/>
      <c r="AC21" s="184"/>
      <c r="AD21" s="221"/>
    </row>
    <row r="22" spans="1:30" ht="19" customHeight="1">
      <c r="B22" s="158"/>
      <c r="C22" s="229"/>
      <c r="D22" s="90" t="s">
        <v>152</v>
      </c>
      <c r="E22" s="189" t="s">
        <v>153</v>
      </c>
      <c r="F22" s="189"/>
      <c r="G22" s="189"/>
      <c r="H22" s="190">
        <v>2.6480000000000001</v>
      </c>
      <c r="I22" s="191"/>
      <c r="J22" s="191"/>
      <c r="K22" s="191"/>
      <c r="L22" s="181">
        <v>0.9</v>
      </c>
      <c r="M22" s="181">
        <v>39.799999999999997</v>
      </c>
      <c r="N22" s="181">
        <v>23.2</v>
      </c>
      <c r="O22" s="181">
        <v>36.1</v>
      </c>
      <c r="P22" s="181">
        <f t="shared" si="0"/>
        <v>59.3</v>
      </c>
      <c r="Q22" s="232">
        <v>9.5</v>
      </c>
      <c r="R22" s="232">
        <v>2.5999999999999999E-2</v>
      </c>
      <c r="S22" s="183"/>
      <c r="T22" s="184"/>
      <c r="U22" s="185" t="s">
        <v>154</v>
      </c>
      <c r="V22" s="184" t="s">
        <v>43</v>
      </c>
      <c r="W22" s="181">
        <v>58.5</v>
      </c>
      <c r="X22" s="181">
        <v>24.2</v>
      </c>
      <c r="Y22" s="181">
        <v>34.299999999999997</v>
      </c>
      <c r="Z22" s="181"/>
      <c r="AA22" s="184"/>
      <c r="AB22" s="184"/>
      <c r="AC22" s="184"/>
      <c r="AD22" s="221"/>
    </row>
    <row r="23" spans="1:30" ht="19" customHeight="1">
      <c r="B23" s="158"/>
      <c r="C23" s="229"/>
      <c r="D23" s="90" t="s">
        <v>155</v>
      </c>
      <c r="E23" s="189" t="s">
        <v>156</v>
      </c>
      <c r="F23" s="189"/>
      <c r="G23" s="189"/>
      <c r="H23" s="190">
        <v>2.6120000000000001</v>
      </c>
      <c r="I23" s="191">
        <v>50.9</v>
      </c>
      <c r="J23" s="191"/>
      <c r="K23" s="191"/>
      <c r="L23" s="181">
        <v>1.4</v>
      </c>
      <c r="M23" s="181">
        <v>13.4</v>
      </c>
      <c r="N23" s="181">
        <v>47.1</v>
      </c>
      <c r="O23" s="181">
        <v>38.1</v>
      </c>
      <c r="P23" s="181">
        <f t="shared" si="0"/>
        <v>85.2</v>
      </c>
      <c r="Q23" s="232">
        <v>4.75</v>
      </c>
      <c r="R23" s="232">
        <v>1.0999999999999999E-2</v>
      </c>
      <c r="S23" s="183"/>
      <c r="T23" s="184"/>
      <c r="U23" s="185" t="s">
        <v>158</v>
      </c>
      <c r="V23" s="184" t="s">
        <v>40</v>
      </c>
      <c r="W23" s="181">
        <v>88.1</v>
      </c>
      <c r="X23" s="181">
        <v>31.4</v>
      </c>
      <c r="Y23" s="181">
        <v>56.7</v>
      </c>
      <c r="Z23" s="181">
        <v>0.7</v>
      </c>
      <c r="AA23" s="184"/>
      <c r="AB23" s="184"/>
      <c r="AC23" s="184"/>
      <c r="AD23" s="221"/>
    </row>
    <row r="24" spans="1:30" ht="19" customHeight="1">
      <c r="B24" s="158"/>
      <c r="C24" s="229"/>
      <c r="D24" s="90" t="s">
        <v>159</v>
      </c>
      <c r="E24" s="189" t="s">
        <v>160</v>
      </c>
      <c r="F24" s="189"/>
      <c r="G24" s="189"/>
      <c r="H24" s="190">
        <v>2.61</v>
      </c>
      <c r="I24" s="191">
        <v>43.8</v>
      </c>
      <c r="J24" s="191"/>
      <c r="K24" s="191"/>
      <c r="L24" s="181">
        <v>1.9</v>
      </c>
      <c r="M24" s="181">
        <v>25.7</v>
      </c>
      <c r="N24" s="181">
        <v>26.5</v>
      </c>
      <c r="O24" s="181">
        <v>45.9</v>
      </c>
      <c r="P24" s="181">
        <f t="shared" si="0"/>
        <v>72.400000000000006</v>
      </c>
      <c r="Q24" s="232">
        <v>9.5</v>
      </c>
      <c r="R24" s="232">
        <v>7.0000000000000001E-3</v>
      </c>
      <c r="S24" s="183"/>
      <c r="T24" s="184"/>
      <c r="U24" s="185" t="s">
        <v>154</v>
      </c>
      <c r="V24" s="184" t="s">
        <v>43</v>
      </c>
      <c r="W24" s="181">
        <v>71.7</v>
      </c>
      <c r="X24" s="181">
        <v>27</v>
      </c>
      <c r="Y24" s="181">
        <v>44.7</v>
      </c>
      <c r="Z24" s="181">
        <v>0.6</v>
      </c>
      <c r="AA24" s="184"/>
      <c r="AB24" s="184"/>
      <c r="AC24" s="184"/>
      <c r="AD24" s="221"/>
    </row>
    <row r="25" spans="1:30" ht="19" customHeight="1">
      <c r="B25" s="158"/>
      <c r="C25" s="229"/>
      <c r="D25" s="90" t="s">
        <v>161</v>
      </c>
      <c r="E25" s="189" t="s">
        <v>162</v>
      </c>
      <c r="F25" s="189"/>
      <c r="G25" s="189"/>
      <c r="H25" s="190">
        <v>2.5990000000000002</v>
      </c>
      <c r="I25" s="189">
        <v>46.8</v>
      </c>
      <c r="J25" s="189"/>
      <c r="K25" s="189"/>
      <c r="L25" s="181">
        <v>2.1</v>
      </c>
      <c r="M25" s="181">
        <v>11.3</v>
      </c>
      <c r="N25" s="181">
        <v>38.700000000000003</v>
      </c>
      <c r="O25" s="181">
        <v>47.9</v>
      </c>
      <c r="P25" s="181">
        <f t="shared" si="0"/>
        <v>86.6</v>
      </c>
      <c r="Q25" s="232">
        <v>9.5</v>
      </c>
      <c r="R25" s="232">
        <v>5.7000000000000002E-3</v>
      </c>
      <c r="S25" s="183"/>
      <c r="T25" s="184"/>
      <c r="U25" s="185" t="s">
        <v>158</v>
      </c>
      <c r="V25" s="184" t="s">
        <v>40</v>
      </c>
      <c r="W25" s="184">
        <v>69.2</v>
      </c>
      <c r="X25" s="184">
        <v>30.4</v>
      </c>
      <c r="Y25" s="184">
        <v>38.799999999999997</v>
      </c>
      <c r="Z25" s="184">
        <v>0.6</v>
      </c>
      <c r="AA25" s="184"/>
      <c r="AB25" s="184"/>
      <c r="AC25" s="184"/>
      <c r="AD25" s="221"/>
    </row>
    <row r="26" spans="1:30" ht="19" customHeight="1" thickBot="1">
      <c r="B26" s="169"/>
      <c r="C26" s="230"/>
      <c r="D26" s="143" t="s">
        <v>163</v>
      </c>
      <c r="E26" s="204" t="s">
        <v>164</v>
      </c>
      <c r="F26" s="204"/>
      <c r="G26" s="204"/>
      <c r="H26" s="205">
        <v>2.6419999999999999</v>
      </c>
      <c r="I26" s="204">
        <v>45.8</v>
      </c>
      <c r="J26" s="204"/>
      <c r="K26" s="204"/>
      <c r="L26" s="197">
        <v>0.7</v>
      </c>
      <c r="M26" s="197">
        <v>10.7</v>
      </c>
      <c r="N26" s="197">
        <v>43.4</v>
      </c>
      <c r="O26" s="197">
        <v>45.2</v>
      </c>
      <c r="P26" s="197">
        <v>88.6</v>
      </c>
      <c r="Q26" s="233">
        <v>4.75</v>
      </c>
      <c r="R26" s="233">
        <v>6.7999999999999996E-3</v>
      </c>
      <c r="S26" s="199"/>
      <c r="T26" s="200"/>
      <c r="U26" s="201" t="s">
        <v>158</v>
      </c>
      <c r="V26" s="200" t="s">
        <v>40</v>
      </c>
      <c r="W26" s="200">
        <v>66</v>
      </c>
      <c r="X26" s="200">
        <v>26.4</v>
      </c>
      <c r="Y26" s="200">
        <v>39.6</v>
      </c>
      <c r="Z26" s="200">
        <v>0.5</v>
      </c>
      <c r="AA26" s="200"/>
      <c r="AB26" s="200"/>
      <c r="AC26" s="200"/>
      <c r="AD26" s="224"/>
    </row>
    <row r="27" spans="1:30" ht="19" customHeight="1" thickBot="1">
      <c r="B27" s="167"/>
      <c r="C27" s="164"/>
      <c r="D27" s="163"/>
      <c r="E27" s="164"/>
      <c r="F27" s="164"/>
      <c r="G27" s="164"/>
      <c r="H27" s="165"/>
      <c r="I27" s="164"/>
      <c r="J27" s="164"/>
      <c r="K27" s="164"/>
      <c r="L27" s="166"/>
      <c r="M27" s="166"/>
      <c r="N27" s="166"/>
      <c r="O27" s="166"/>
      <c r="P27" s="166"/>
      <c r="Q27" s="163"/>
      <c r="R27" s="163"/>
      <c r="S27" s="167"/>
      <c r="T27" s="163"/>
      <c r="U27" s="168"/>
      <c r="V27" s="163"/>
      <c r="W27" s="163"/>
      <c r="X27" s="163"/>
      <c r="Y27" s="163"/>
      <c r="Z27" s="163"/>
      <c r="AA27" s="163"/>
      <c r="AB27" s="163"/>
      <c r="AC27" s="163"/>
      <c r="AD27" s="163"/>
    </row>
    <row r="28" spans="1:30" ht="28" customHeight="1">
      <c r="A28" s="146"/>
      <c r="B28" s="153" t="s">
        <v>51</v>
      </c>
      <c r="C28" s="95" t="s">
        <v>67</v>
      </c>
      <c r="D28" s="95" t="s">
        <v>68</v>
      </c>
      <c r="E28" s="95" t="s">
        <v>69</v>
      </c>
      <c r="F28" s="96" t="s">
        <v>70</v>
      </c>
      <c r="G28" s="96" t="s">
        <v>71</v>
      </c>
      <c r="H28" s="96" t="s">
        <v>72</v>
      </c>
      <c r="I28" s="96" t="s">
        <v>73</v>
      </c>
      <c r="J28" s="96" t="s">
        <v>74</v>
      </c>
      <c r="K28" s="96" t="s">
        <v>75</v>
      </c>
      <c r="L28" s="97" t="s">
        <v>76</v>
      </c>
      <c r="M28" s="97"/>
      <c r="N28" s="97"/>
      <c r="O28" s="97"/>
      <c r="P28" s="97"/>
      <c r="Q28" s="97"/>
      <c r="R28" s="97"/>
      <c r="S28" s="97"/>
      <c r="T28" s="97"/>
      <c r="U28" s="97" t="s">
        <v>77</v>
      </c>
      <c r="V28" s="97"/>
      <c r="W28" s="97" t="s">
        <v>78</v>
      </c>
      <c r="X28" s="97"/>
      <c r="Y28" s="97"/>
      <c r="Z28" s="97"/>
      <c r="AA28" s="97" t="s">
        <v>79</v>
      </c>
      <c r="AB28" s="97"/>
      <c r="AC28" s="97" t="s">
        <v>80</v>
      </c>
      <c r="AD28" s="144" t="s">
        <v>81</v>
      </c>
    </row>
    <row r="29" spans="1:30" ht="42" customHeight="1" thickBot="1">
      <c r="A29" s="146"/>
      <c r="B29" s="154"/>
      <c r="C29" s="132"/>
      <c r="D29" s="132"/>
      <c r="E29" s="132" t="s">
        <v>82</v>
      </c>
      <c r="F29" s="131" t="s">
        <v>83</v>
      </c>
      <c r="G29" s="131" t="s">
        <v>84</v>
      </c>
      <c r="H29" s="131" t="s">
        <v>85</v>
      </c>
      <c r="I29" s="131" t="s">
        <v>86</v>
      </c>
      <c r="J29" s="157" t="s">
        <v>87</v>
      </c>
      <c r="K29" s="157" t="s">
        <v>88</v>
      </c>
      <c r="L29" s="131" t="s">
        <v>89</v>
      </c>
      <c r="M29" s="131" t="s">
        <v>90</v>
      </c>
      <c r="N29" s="131" t="s">
        <v>91</v>
      </c>
      <c r="O29" s="131" t="s">
        <v>92</v>
      </c>
      <c r="P29" s="131" t="s">
        <v>93</v>
      </c>
      <c r="Q29" s="131" t="s">
        <v>94</v>
      </c>
      <c r="R29" s="131" t="s">
        <v>95</v>
      </c>
      <c r="S29" s="131" t="s">
        <v>96</v>
      </c>
      <c r="T29" s="131" t="s">
        <v>97</v>
      </c>
      <c r="U29" s="131" t="s">
        <v>77</v>
      </c>
      <c r="V29" s="131" t="s">
        <v>98</v>
      </c>
      <c r="W29" s="131" t="s">
        <v>99</v>
      </c>
      <c r="X29" s="131" t="s">
        <v>100</v>
      </c>
      <c r="Y29" s="131" t="s">
        <v>101</v>
      </c>
      <c r="Z29" s="131" t="s">
        <v>102</v>
      </c>
      <c r="AA29" s="131" t="s">
        <v>103</v>
      </c>
      <c r="AB29" s="131" t="s">
        <v>104</v>
      </c>
      <c r="AC29" s="133" t="s">
        <v>105</v>
      </c>
      <c r="AD29" s="156" t="s">
        <v>106</v>
      </c>
    </row>
    <row r="30" spans="1:30" ht="19" customHeight="1">
      <c r="A30" s="146"/>
      <c r="B30" s="152" t="s">
        <v>64</v>
      </c>
      <c r="C30" s="155"/>
      <c r="D30" s="145" t="s">
        <v>165</v>
      </c>
      <c r="E30" s="227" t="s">
        <v>166</v>
      </c>
      <c r="F30" s="179"/>
      <c r="G30" s="179"/>
      <c r="H30" s="179"/>
      <c r="I30" s="180"/>
      <c r="J30" s="179"/>
      <c r="K30" s="180"/>
      <c r="L30" s="171">
        <v>41.7</v>
      </c>
      <c r="M30" s="171">
        <v>42.8</v>
      </c>
      <c r="N30" s="177">
        <v>15.5</v>
      </c>
      <c r="O30" s="177"/>
      <c r="P30" s="171">
        <f t="shared" ref="P30:P56" si="1">SUM(N30:O30)</f>
        <v>15.5</v>
      </c>
      <c r="Q30" s="172">
        <v>19</v>
      </c>
      <c r="R30" s="171">
        <v>1.1000000000000001</v>
      </c>
      <c r="S30" s="173"/>
      <c r="T30" s="174"/>
      <c r="U30" s="175" t="s">
        <v>21</v>
      </c>
      <c r="V30" s="174" t="s">
        <v>113</v>
      </c>
      <c r="W30" s="171"/>
      <c r="X30" s="171"/>
      <c r="Y30" s="171"/>
      <c r="Z30" s="171"/>
      <c r="AA30" s="172"/>
      <c r="AB30" s="171"/>
      <c r="AC30" s="172"/>
      <c r="AD30" s="176"/>
    </row>
    <row r="31" spans="1:30" ht="19" customHeight="1">
      <c r="A31" s="146"/>
      <c r="B31" s="147"/>
      <c r="C31" s="139"/>
      <c r="D31" s="90" t="s">
        <v>167</v>
      </c>
      <c r="E31" s="226" t="s">
        <v>115</v>
      </c>
      <c r="F31" s="190"/>
      <c r="G31" s="190"/>
      <c r="H31" s="190"/>
      <c r="I31" s="191"/>
      <c r="J31" s="190"/>
      <c r="K31" s="191"/>
      <c r="L31" s="181">
        <v>38.299999999999997</v>
      </c>
      <c r="M31" s="181">
        <v>41.5</v>
      </c>
      <c r="N31" s="188">
        <v>20.2</v>
      </c>
      <c r="O31" s="188"/>
      <c r="P31" s="181">
        <f t="shared" si="1"/>
        <v>20.2</v>
      </c>
      <c r="Q31" s="181">
        <v>26.5</v>
      </c>
      <c r="R31" s="182">
        <v>0.79</v>
      </c>
      <c r="S31" s="183"/>
      <c r="T31" s="184"/>
      <c r="U31" s="185" t="s">
        <v>21</v>
      </c>
      <c r="V31" s="184" t="s">
        <v>113</v>
      </c>
      <c r="W31" s="181"/>
      <c r="X31" s="181"/>
      <c r="Y31" s="181"/>
      <c r="Z31" s="181"/>
      <c r="AA31" s="186"/>
      <c r="AB31" s="181"/>
      <c r="AC31" s="186"/>
      <c r="AD31" s="187"/>
    </row>
    <row r="32" spans="1:30" ht="19" customHeight="1">
      <c r="A32" s="146"/>
      <c r="B32" s="147"/>
      <c r="C32" s="139"/>
      <c r="D32" s="90" t="s">
        <v>168</v>
      </c>
      <c r="E32" s="170" t="s">
        <v>117</v>
      </c>
      <c r="F32" s="190"/>
      <c r="G32" s="190"/>
      <c r="H32" s="190">
        <v>2.6349999999999998</v>
      </c>
      <c r="I32" s="191"/>
      <c r="J32" s="190"/>
      <c r="K32" s="191"/>
      <c r="L32" s="181">
        <v>16.399999999999999</v>
      </c>
      <c r="M32" s="181">
        <v>43.2</v>
      </c>
      <c r="N32" s="188">
        <v>19.100000000000001</v>
      </c>
      <c r="O32" s="188">
        <v>21.3</v>
      </c>
      <c r="P32" s="181">
        <f t="shared" si="1"/>
        <v>40.400000000000006</v>
      </c>
      <c r="Q32" s="186">
        <v>19</v>
      </c>
      <c r="R32" s="182">
        <v>0.16</v>
      </c>
      <c r="S32" s="183"/>
      <c r="T32" s="184"/>
      <c r="U32" s="185" t="s">
        <v>21</v>
      </c>
      <c r="V32" s="184" t="s">
        <v>113</v>
      </c>
      <c r="W32" s="181">
        <v>59.8</v>
      </c>
      <c r="X32" s="181">
        <v>28.8</v>
      </c>
      <c r="Y32" s="181">
        <v>31</v>
      </c>
      <c r="Z32" s="181"/>
      <c r="AA32" s="186"/>
      <c r="AB32" s="181"/>
      <c r="AC32" s="186"/>
      <c r="AD32" s="187"/>
    </row>
    <row r="33" spans="1:30" ht="19" customHeight="1">
      <c r="A33" s="146"/>
      <c r="B33" s="147"/>
      <c r="C33" s="139"/>
      <c r="D33" s="90" t="s">
        <v>169</v>
      </c>
      <c r="E33" s="193" t="s">
        <v>170</v>
      </c>
      <c r="F33" s="192"/>
      <c r="G33" s="190"/>
      <c r="H33" s="190"/>
      <c r="I33" s="191"/>
      <c r="J33" s="190"/>
      <c r="K33" s="191"/>
      <c r="L33" s="181">
        <v>51.6</v>
      </c>
      <c r="M33" s="181">
        <v>29.7</v>
      </c>
      <c r="N33" s="188">
        <v>18.7</v>
      </c>
      <c r="O33" s="188"/>
      <c r="P33" s="181">
        <f t="shared" si="1"/>
        <v>18.7</v>
      </c>
      <c r="Q33" s="186">
        <v>19</v>
      </c>
      <c r="R33" s="181">
        <v>2.2000000000000002</v>
      </c>
      <c r="S33" s="183"/>
      <c r="T33" s="184"/>
      <c r="U33" s="185" t="s">
        <v>131</v>
      </c>
      <c r="V33" s="184" t="s">
        <v>132</v>
      </c>
      <c r="W33" s="181"/>
      <c r="X33" s="181"/>
      <c r="Y33" s="181"/>
      <c r="Z33" s="181"/>
      <c r="AA33" s="186"/>
      <c r="AB33" s="181"/>
      <c r="AC33" s="186"/>
      <c r="AD33" s="187"/>
    </row>
    <row r="34" spans="1:30" ht="19" customHeight="1">
      <c r="A34" s="146"/>
      <c r="B34" s="147"/>
      <c r="C34" s="139"/>
      <c r="D34" s="90" t="s">
        <v>171</v>
      </c>
      <c r="E34" s="189" t="s">
        <v>172</v>
      </c>
      <c r="F34" s="190"/>
      <c r="G34" s="190"/>
      <c r="H34" s="190"/>
      <c r="I34" s="191"/>
      <c r="J34" s="190"/>
      <c r="K34" s="191"/>
      <c r="L34" s="181">
        <v>4.7</v>
      </c>
      <c r="M34" s="181">
        <v>88.2</v>
      </c>
      <c r="N34" s="188">
        <v>7.1</v>
      </c>
      <c r="O34" s="188"/>
      <c r="P34" s="181">
        <f t="shared" si="1"/>
        <v>7.1</v>
      </c>
      <c r="Q34" s="181">
        <v>9.5</v>
      </c>
      <c r="R34" s="182">
        <v>0.32</v>
      </c>
      <c r="S34" s="183"/>
      <c r="T34" s="184"/>
      <c r="U34" s="185" t="s">
        <v>28</v>
      </c>
      <c r="V34" s="184" t="s">
        <v>44</v>
      </c>
      <c r="W34" s="181"/>
      <c r="X34" s="181"/>
      <c r="Y34" s="181"/>
      <c r="Z34" s="181"/>
      <c r="AA34" s="186"/>
      <c r="AB34" s="181"/>
      <c r="AC34" s="186"/>
      <c r="AD34" s="187"/>
    </row>
    <row r="35" spans="1:30" ht="19" customHeight="1">
      <c r="A35" s="146"/>
      <c r="B35" s="147"/>
      <c r="C35" s="139"/>
      <c r="D35" s="90" t="s">
        <v>173</v>
      </c>
      <c r="E35" s="189" t="s">
        <v>174</v>
      </c>
      <c r="F35" s="190">
        <v>1.6220000000000001</v>
      </c>
      <c r="G35" s="190">
        <v>0.99299999999999999</v>
      </c>
      <c r="H35" s="190">
        <v>2.665</v>
      </c>
      <c r="I35" s="191">
        <v>63.3</v>
      </c>
      <c r="J35" s="190">
        <v>1.6839999999999999</v>
      </c>
      <c r="K35" s="191">
        <v>100.2</v>
      </c>
      <c r="L35" s="181">
        <v>0</v>
      </c>
      <c r="M35" s="181">
        <v>0.8</v>
      </c>
      <c r="N35" s="181">
        <v>40.1</v>
      </c>
      <c r="O35" s="181">
        <v>59.1</v>
      </c>
      <c r="P35" s="181">
        <f t="shared" si="1"/>
        <v>99.2</v>
      </c>
      <c r="Q35" s="194">
        <v>0.42499999999999999</v>
      </c>
      <c r="R35" s="195">
        <v>3.7000000000000002E-3</v>
      </c>
      <c r="S35" s="183"/>
      <c r="T35" s="184"/>
      <c r="U35" s="185" t="s">
        <v>175</v>
      </c>
      <c r="V35" s="184" t="s">
        <v>35</v>
      </c>
      <c r="W35" s="181">
        <v>85.6</v>
      </c>
      <c r="X35" s="181">
        <v>29</v>
      </c>
      <c r="Y35" s="181">
        <v>56.6</v>
      </c>
      <c r="Z35" s="181">
        <v>0.4</v>
      </c>
      <c r="AA35" s="186">
        <v>62</v>
      </c>
      <c r="AB35" s="181">
        <v>0</v>
      </c>
      <c r="AC35" s="186">
        <v>141</v>
      </c>
      <c r="AD35" s="187">
        <v>0.72</v>
      </c>
    </row>
    <row r="36" spans="1:30" ht="19" customHeight="1">
      <c r="A36" s="146"/>
      <c r="B36" s="147"/>
      <c r="C36" s="139"/>
      <c r="D36" s="90" t="s">
        <v>176</v>
      </c>
      <c r="E36" s="189" t="s">
        <v>128</v>
      </c>
      <c r="F36" s="190"/>
      <c r="G36" s="190"/>
      <c r="H36" s="190">
        <v>2.6520000000000001</v>
      </c>
      <c r="I36" s="191">
        <v>66.8</v>
      </c>
      <c r="J36" s="190"/>
      <c r="K36" s="191"/>
      <c r="L36" s="181">
        <v>0</v>
      </c>
      <c r="M36" s="181">
        <v>1</v>
      </c>
      <c r="N36" s="181">
        <v>29.9</v>
      </c>
      <c r="O36" s="181">
        <v>69.099999999999994</v>
      </c>
      <c r="P36" s="181">
        <f t="shared" si="1"/>
        <v>99</v>
      </c>
      <c r="Q36" s="194">
        <v>0.85</v>
      </c>
      <c r="R36" s="195">
        <v>1.5E-3</v>
      </c>
      <c r="S36" s="183"/>
      <c r="T36" s="184"/>
      <c r="U36" s="185" t="s">
        <v>175</v>
      </c>
      <c r="V36" s="184" t="s">
        <v>35</v>
      </c>
      <c r="W36" s="181">
        <v>95.7</v>
      </c>
      <c r="X36" s="181">
        <v>34.799999999999997</v>
      </c>
      <c r="Y36" s="181">
        <v>60.9</v>
      </c>
      <c r="Z36" s="181">
        <v>0.5</v>
      </c>
      <c r="AA36" s="186"/>
      <c r="AB36" s="181"/>
      <c r="AC36" s="186"/>
      <c r="AD36" s="187"/>
    </row>
    <row r="37" spans="1:30" ht="19" customHeight="1">
      <c r="A37" s="146"/>
      <c r="B37" s="147"/>
      <c r="C37" s="140"/>
      <c r="D37" s="90" t="s">
        <v>177</v>
      </c>
      <c r="E37" s="189" t="s">
        <v>134</v>
      </c>
      <c r="F37" s="190"/>
      <c r="G37" s="190"/>
      <c r="H37" s="190">
        <v>2.6429999999999998</v>
      </c>
      <c r="I37" s="191">
        <v>63.1</v>
      </c>
      <c r="J37" s="190"/>
      <c r="K37" s="191"/>
      <c r="L37" s="181">
        <v>0.3</v>
      </c>
      <c r="M37" s="181">
        <v>4.9000000000000004</v>
      </c>
      <c r="N37" s="181">
        <v>33.6</v>
      </c>
      <c r="O37" s="181">
        <v>61.2</v>
      </c>
      <c r="P37" s="181">
        <f t="shared" si="1"/>
        <v>94.800000000000011</v>
      </c>
      <c r="Q37" s="182">
        <v>4.75</v>
      </c>
      <c r="R37" s="195">
        <v>2.2000000000000001E-3</v>
      </c>
      <c r="S37" s="183"/>
      <c r="T37" s="184"/>
      <c r="U37" s="185" t="s">
        <v>175</v>
      </c>
      <c r="V37" s="184" t="s">
        <v>35</v>
      </c>
      <c r="W37" s="181">
        <v>90.3</v>
      </c>
      <c r="X37" s="181">
        <v>30.2</v>
      </c>
      <c r="Y37" s="181">
        <v>60.1</v>
      </c>
      <c r="Z37" s="181">
        <v>0.5</v>
      </c>
      <c r="AA37" s="186"/>
      <c r="AB37" s="181"/>
      <c r="AC37" s="186"/>
      <c r="AD37" s="187"/>
    </row>
    <row r="38" spans="1:30" ht="19" customHeight="1">
      <c r="A38" s="146"/>
      <c r="B38" s="147"/>
      <c r="C38" s="140"/>
      <c r="D38" s="90" t="s">
        <v>178</v>
      </c>
      <c r="E38" s="189" t="s">
        <v>136</v>
      </c>
      <c r="F38" s="190"/>
      <c r="G38" s="190"/>
      <c r="H38" s="190">
        <v>2.6520000000000001</v>
      </c>
      <c r="I38" s="191">
        <v>59.3</v>
      </c>
      <c r="J38" s="190"/>
      <c r="K38" s="191"/>
      <c r="L38" s="181">
        <v>0.2</v>
      </c>
      <c r="M38" s="181">
        <v>3.2</v>
      </c>
      <c r="N38" s="181">
        <v>36</v>
      </c>
      <c r="O38" s="181">
        <v>60.6</v>
      </c>
      <c r="P38" s="181">
        <f t="shared" si="1"/>
        <v>96.6</v>
      </c>
      <c r="Q38" s="182">
        <v>4.75</v>
      </c>
      <c r="R38" s="195">
        <v>2.3E-3</v>
      </c>
      <c r="S38" s="183"/>
      <c r="T38" s="184"/>
      <c r="U38" s="185" t="s">
        <v>175</v>
      </c>
      <c r="V38" s="184" t="s">
        <v>35</v>
      </c>
      <c r="W38" s="181">
        <v>79.2</v>
      </c>
      <c r="X38" s="181">
        <v>35.6</v>
      </c>
      <c r="Y38" s="181">
        <v>43.6</v>
      </c>
      <c r="Z38" s="181">
        <v>0.5</v>
      </c>
      <c r="AA38" s="186"/>
      <c r="AB38" s="181"/>
      <c r="AC38" s="186"/>
      <c r="AD38" s="187"/>
    </row>
    <row r="39" spans="1:30" ht="19" customHeight="1">
      <c r="A39" s="146"/>
      <c r="B39" s="147"/>
      <c r="C39" s="140"/>
      <c r="D39" s="90" t="s">
        <v>179</v>
      </c>
      <c r="E39" s="189" t="s">
        <v>180</v>
      </c>
      <c r="F39" s="190"/>
      <c r="G39" s="190"/>
      <c r="H39" s="190">
        <v>2.653</v>
      </c>
      <c r="I39" s="191">
        <v>52.3</v>
      </c>
      <c r="J39" s="190"/>
      <c r="K39" s="191"/>
      <c r="L39" s="181">
        <v>1.7</v>
      </c>
      <c r="M39" s="181">
        <v>26.2</v>
      </c>
      <c r="N39" s="181">
        <v>37.799999999999997</v>
      </c>
      <c r="O39" s="181">
        <v>34.299999999999997</v>
      </c>
      <c r="P39" s="181">
        <f t="shared" si="1"/>
        <v>72.099999999999994</v>
      </c>
      <c r="Q39" s="181">
        <v>9.5</v>
      </c>
      <c r="R39" s="194">
        <v>1.4E-2</v>
      </c>
      <c r="S39" s="183"/>
      <c r="T39" s="184"/>
      <c r="U39" s="185" t="s">
        <v>181</v>
      </c>
      <c r="V39" s="184" t="s">
        <v>182</v>
      </c>
      <c r="W39" s="181">
        <v>90.1</v>
      </c>
      <c r="X39" s="181">
        <v>39.5</v>
      </c>
      <c r="Y39" s="181">
        <v>50.6</v>
      </c>
      <c r="Z39" s="181">
        <v>0.7</v>
      </c>
      <c r="AA39" s="186"/>
      <c r="AB39" s="181"/>
      <c r="AC39" s="186"/>
      <c r="AD39" s="187"/>
    </row>
    <row r="40" spans="1:30" ht="19" customHeight="1">
      <c r="A40" s="146"/>
      <c r="B40" s="147"/>
      <c r="C40" s="140"/>
      <c r="D40" s="90" t="s">
        <v>183</v>
      </c>
      <c r="E40" s="170" t="s">
        <v>142</v>
      </c>
      <c r="F40" s="190"/>
      <c r="G40" s="190"/>
      <c r="H40" s="190">
        <v>2.649</v>
      </c>
      <c r="I40" s="191">
        <v>54.5</v>
      </c>
      <c r="J40" s="190"/>
      <c r="K40" s="191"/>
      <c r="L40" s="181">
        <v>4.0999999999999996</v>
      </c>
      <c r="M40" s="181">
        <v>32.1</v>
      </c>
      <c r="N40" s="181">
        <v>23.4</v>
      </c>
      <c r="O40" s="181">
        <v>40.4</v>
      </c>
      <c r="P40" s="181">
        <f t="shared" si="1"/>
        <v>63.8</v>
      </c>
      <c r="Q40" s="186">
        <v>19</v>
      </c>
      <c r="R40" s="194">
        <v>1.2999999999999999E-2</v>
      </c>
      <c r="S40" s="183"/>
      <c r="T40" s="184"/>
      <c r="U40" s="185" t="s">
        <v>154</v>
      </c>
      <c r="V40" s="184" t="s">
        <v>43</v>
      </c>
      <c r="W40" s="181">
        <v>73.8</v>
      </c>
      <c r="X40" s="181">
        <v>31.5</v>
      </c>
      <c r="Y40" s="181">
        <v>42.3</v>
      </c>
      <c r="Z40" s="181">
        <v>0.5</v>
      </c>
      <c r="AA40" s="186"/>
      <c r="AB40" s="181"/>
      <c r="AC40" s="186"/>
      <c r="AD40" s="187"/>
    </row>
    <row r="41" spans="1:30" ht="19" customHeight="1">
      <c r="A41" s="146"/>
      <c r="B41" s="147"/>
      <c r="C41" s="140"/>
      <c r="D41" s="90" t="s">
        <v>184</v>
      </c>
      <c r="E41" s="189" t="s">
        <v>185</v>
      </c>
      <c r="F41" s="190"/>
      <c r="G41" s="190"/>
      <c r="H41" s="190">
        <v>2.63</v>
      </c>
      <c r="I41" s="191">
        <v>42.1</v>
      </c>
      <c r="J41" s="190"/>
      <c r="K41" s="191"/>
      <c r="L41" s="181">
        <v>1.6</v>
      </c>
      <c r="M41" s="181">
        <v>22</v>
      </c>
      <c r="N41" s="181">
        <v>29.6</v>
      </c>
      <c r="O41" s="181">
        <v>46.8</v>
      </c>
      <c r="P41" s="181">
        <f t="shared" si="1"/>
        <v>76.400000000000006</v>
      </c>
      <c r="Q41" s="182">
        <v>4.75</v>
      </c>
      <c r="R41" s="195">
        <v>7.1000000000000004E-3</v>
      </c>
      <c r="S41" s="183"/>
      <c r="T41" s="184"/>
      <c r="U41" s="185" t="s">
        <v>154</v>
      </c>
      <c r="V41" s="184" t="s">
        <v>43</v>
      </c>
      <c r="W41" s="181">
        <v>65</v>
      </c>
      <c r="X41" s="181">
        <v>25.6</v>
      </c>
      <c r="Y41" s="181">
        <v>39.4</v>
      </c>
      <c r="Z41" s="181">
        <v>0.6</v>
      </c>
      <c r="AA41" s="186"/>
      <c r="AB41" s="181"/>
      <c r="AC41" s="186"/>
      <c r="AD41" s="187"/>
    </row>
    <row r="42" spans="1:30" ht="19" customHeight="1">
      <c r="A42" s="146"/>
      <c r="B42" s="147"/>
      <c r="C42" s="140"/>
      <c r="D42" s="90" t="s">
        <v>186</v>
      </c>
      <c r="E42" s="189" t="s">
        <v>187</v>
      </c>
      <c r="F42" s="190">
        <v>1.718</v>
      </c>
      <c r="G42" s="190">
        <v>1.1719999999999999</v>
      </c>
      <c r="H42" s="190">
        <v>2.6920000000000002</v>
      </c>
      <c r="I42" s="191">
        <v>46.7</v>
      </c>
      <c r="J42" s="190">
        <v>1.3</v>
      </c>
      <c r="K42" s="191">
        <v>96.6</v>
      </c>
      <c r="L42" s="181">
        <v>0.5</v>
      </c>
      <c r="M42" s="181">
        <v>16.5</v>
      </c>
      <c r="N42" s="181">
        <v>41.5</v>
      </c>
      <c r="O42" s="181">
        <v>41.5</v>
      </c>
      <c r="P42" s="181">
        <f t="shared" si="1"/>
        <v>83</v>
      </c>
      <c r="Q42" s="182">
        <v>4.75</v>
      </c>
      <c r="R42" s="195">
        <v>7.6E-3</v>
      </c>
      <c r="S42" s="183"/>
      <c r="T42" s="184"/>
      <c r="U42" s="185" t="s">
        <v>154</v>
      </c>
      <c r="V42" s="184" t="s">
        <v>43</v>
      </c>
      <c r="W42" s="181">
        <v>70.900000000000006</v>
      </c>
      <c r="X42" s="181">
        <v>25.6</v>
      </c>
      <c r="Y42" s="181">
        <v>45.3</v>
      </c>
      <c r="Z42" s="181">
        <v>0.6</v>
      </c>
      <c r="AA42" s="186">
        <v>56</v>
      </c>
      <c r="AB42" s="181">
        <v>0</v>
      </c>
      <c r="AC42" s="186">
        <v>146</v>
      </c>
      <c r="AD42" s="187">
        <v>0.62</v>
      </c>
    </row>
    <row r="43" spans="1:30" ht="19" customHeight="1">
      <c r="A43" s="146"/>
      <c r="B43" s="147"/>
      <c r="C43" s="140"/>
      <c r="D43" s="90" t="s">
        <v>188</v>
      </c>
      <c r="E43" s="189" t="s">
        <v>148</v>
      </c>
      <c r="F43" s="190"/>
      <c r="G43" s="190"/>
      <c r="H43" s="190">
        <v>2.6469999999999998</v>
      </c>
      <c r="I43" s="191">
        <v>43.4</v>
      </c>
      <c r="J43" s="190"/>
      <c r="K43" s="191"/>
      <c r="L43" s="181">
        <v>0.5</v>
      </c>
      <c r="M43" s="181">
        <v>13.5</v>
      </c>
      <c r="N43" s="181">
        <v>35.799999999999997</v>
      </c>
      <c r="O43" s="181">
        <v>50.2</v>
      </c>
      <c r="P43" s="181">
        <f t="shared" si="1"/>
        <v>86</v>
      </c>
      <c r="Q43" s="182">
        <v>4.75</v>
      </c>
      <c r="R43" s="195">
        <v>4.8999999999999998E-3</v>
      </c>
      <c r="S43" s="183"/>
      <c r="T43" s="184"/>
      <c r="U43" s="185" t="s">
        <v>158</v>
      </c>
      <c r="V43" s="184" t="s">
        <v>40</v>
      </c>
      <c r="W43" s="181">
        <v>66.099999999999994</v>
      </c>
      <c r="X43" s="181">
        <v>25.9</v>
      </c>
      <c r="Y43" s="181">
        <v>40.200000000000003</v>
      </c>
      <c r="Z43" s="181">
        <v>0.6</v>
      </c>
      <c r="AA43" s="186"/>
      <c r="AB43" s="181"/>
      <c r="AC43" s="186"/>
      <c r="AD43" s="187"/>
    </row>
    <row r="44" spans="1:30" ht="19" customHeight="1">
      <c r="A44" s="146"/>
      <c r="B44" s="147"/>
      <c r="C44" s="140"/>
      <c r="D44" s="90" t="s">
        <v>189</v>
      </c>
      <c r="E44" s="189" t="s">
        <v>151</v>
      </c>
      <c r="F44" s="190"/>
      <c r="G44" s="190"/>
      <c r="H44" s="190">
        <v>2.66</v>
      </c>
      <c r="I44" s="191">
        <v>50.9</v>
      </c>
      <c r="J44" s="190"/>
      <c r="K44" s="191"/>
      <c r="L44" s="181">
        <v>4.9000000000000004</v>
      </c>
      <c r="M44" s="181">
        <v>30</v>
      </c>
      <c r="N44" s="181">
        <v>19.8</v>
      </c>
      <c r="O44" s="181">
        <v>45.3</v>
      </c>
      <c r="P44" s="181">
        <f t="shared" si="1"/>
        <v>65.099999999999994</v>
      </c>
      <c r="Q44" s="186">
        <v>19</v>
      </c>
      <c r="R44" s="195">
        <v>9.4999999999999998E-3</v>
      </c>
      <c r="S44" s="183"/>
      <c r="T44" s="184"/>
      <c r="U44" s="185" t="s">
        <v>154</v>
      </c>
      <c r="V44" s="184" t="s">
        <v>43</v>
      </c>
      <c r="W44" s="181">
        <v>83</v>
      </c>
      <c r="X44" s="181">
        <v>33.5</v>
      </c>
      <c r="Y44" s="181">
        <v>49.5</v>
      </c>
      <c r="Z44" s="181">
        <v>0.6</v>
      </c>
      <c r="AA44" s="186"/>
      <c r="AB44" s="181"/>
      <c r="AC44" s="186"/>
      <c r="AD44" s="187"/>
    </row>
    <row r="45" spans="1:30" ht="19" customHeight="1">
      <c r="A45" s="146"/>
      <c r="B45" s="147"/>
      <c r="C45" s="140"/>
      <c r="D45" s="90" t="s">
        <v>190</v>
      </c>
      <c r="E45" s="189" t="s">
        <v>153</v>
      </c>
      <c r="F45" s="190"/>
      <c r="G45" s="190"/>
      <c r="H45" s="190"/>
      <c r="I45" s="191"/>
      <c r="J45" s="190"/>
      <c r="K45" s="191"/>
      <c r="L45" s="181">
        <v>1.1000000000000001</v>
      </c>
      <c r="M45" s="181">
        <v>90.1</v>
      </c>
      <c r="N45" s="188">
        <v>8.8000000000000007</v>
      </c>
      <c r="O45" s="188"/>
      <c r="P45" s="181">
        <f t="shared" si="1"/>
        <v>8.8000000000000007</v>
      </c>
      <c r="Q45" s="182">
        <v>4.75</v>
      </c>
      <c r="R45" s="182">
        <v>0.34</v>
      </c>
      <c r="S45" s="183"/>
      <c r="T45" s="184"/>
      <c r="U45" s="185" t="s">
        <v>28</v>
      </c>
      <c r="V45" s="184" t="s">
        <v>44</v>
      </c>
      <c r="W45" s="181"/>
      <c r="X45" s="181"/>
      <c r="Y45" s="181"/>
      <c r="Z45" s="181"/>
      <c r="AA45" s="186"/>
      <c r="AB45" s="181"/>
      <c r="AC45" s="186"/>
      <c r="AD45" s="187"/>
    </row>
    <row r="46" spans="1:30" ht="19" customHeight="1">
      <c r="A46" s="146"/>
      <c r="B46" s="147"/>
      <c r="C46" s="140"/>
      <c r="D46" s="90" t="s">
        <v>191</v>
      </c>
      <c r="E46" s="189" t="s">
        <v>192</v>
      </c>
      <c r="F46" s="190"/>
      <c r="G46" s="190"/>
      <c r="H46" s="190"/>
      <c r="I46" s="191"/>
      <c r="J46" s="190"/>
      <c r="K46" s="191"/>
      <c r="L46" s="181">
        <v>65.3</v>
      </c>
      <c r="M46" s="181">
        <v>30.3</v>
      </c>
      <c r="N46" s="188">
        <v>4.4000000000000004</v>
      </c>
      <c r="O46" s="188"/>
      <c r="P46" s="181">
        <f t="shared" si="1"/>
        <v>4.4000000000000004</v>
      </c>
      <c r="Q46" s="181">
        <v>26.5</v>
      </c>
      <c r="R46" s="181">
        <v>5.2</v>
      </c>
      <c r="S46" s="183"/>
      <c r="T46" s="184"/>
      <c r="U46" s="185" t="s">
        <v>193</v>
      </c>
      <c r="V46" s="184" t="s">
        <v>194</v>
      </c>
      <c r="W46" s="181"/>
      <c r="X46" s="181"/>
      <c r="Y46" s="181"/>
      <c r="Z46" s="181"/>
      <c r="AA46" s="186"/>
      <c r="AB46" s="181"/>
      <c r="AC46" s="186"/>
      <c r="AD46" s="187"/>
    </row>
    <row r="47" spans="1:30" ht="19" customHeight="1">
      <c r="A47" s="146"/>
      <c r="B47" s="147"/>
      <c r="C47" s="140"/>
      <c r="D47" s="90" t="s">
        <v>195</v>
      </c>
      <c r="E47" s="189" t="s">
        <v>160</v>
      </c>
      <c r="F47" s="190"/>
      <c r="G47" s="190"/>
      <c r="H47" s="190">
        <v>2.6469999999999998</v>
      </c>
      <c r="I47" s="191">
        <v>50.1</v>
      </c>
      <c r="J47" s="190"/>
      <c r="K47" s="191"/>
      <c r="L47" s="181">
        <v>0.1</v>
      </c>
      <c r="M47" s="181">
        <v>4.0999999999999996</v>
      </c>
      <c r="N47" s="181">
        <v>36.4</v>
      </c>
      <c r="O47" s="181">
        <v>59.4</v>
      </c>
      <c r="P47" s="181">
        <f t="shared" si="1"/>
        <v>95.8</v>
      </c>
      <c r="Q47" s="182">
        <v>4.75</v>
      </c>
      <c r="R47" s="195">
        <v>2E-3</v>
      </c>
      <c r="S47" s="183"/>
      <c r="T47" s="184"/>
      <c r="U47" s="185" t="s">
        <v>175</v>
      </c>
      <c r="V47" s="184" t="s">
        <v>35</v>
      </c>
      <c r="W47" s="181">
        <v>75.3</v>
      </c>
      <c r="X47" s="181">
        <v>30.2</v>
      </c>
      <c r="Y47" s="181">
        <v>45.1</v>
      </c>
      <c r="Z47" s="181">
        <v>0.6</v>
      </c>
      <c r="AA47" s="186"/>
      <c r="AB47" s="181"/>
      <c r="AC47" s="186"/>
      <c r="AD47" s="187"/>
    </row>
    <row r="48" spans="1:30" ht="19" customHeight="1">
      <c r="A48" s="146"/>
      <c r="B48" s="147"/>
      <c r="C48" s="140"/>
      <c r="D48" s="90" t="s">
        <v>196</v>
      </c>
      <c r="E48" s="189" t="s">
        <v>197</v>
      </c>
      <c r="F48" s="190">
        <v>1.7450000000000001</v>
      </c>
      <c r="G48" s="190">
        <v>1.2010000000000001</v>
      </c>
      <c r="H48" s="190">
        <v>2.6480000000000001</v>
      </c>
      <c r="I48" s="191">
        <v>45.5</v>
      </c>
      <c r="J48" s="190">
        <v>1.2110000000000001</v>
      </c>
      <c r="K48" s="191">
        <v>99.6</v>
      </c>
      <c r="L48" s="181">
        <v>0</v>
      </c>
      <c r="M48" s="181">
        <v>7.1</v>
      </c>
      <c r="N48" s="181">
        <v>36.700000000000003</v>
      </c>
      <c r="O48" s="181">
        <v>56.2</v>
      </c>
      <c r="P48" s="181">
        <f t="shared" si="1"/>
        <v>92.9</v>
      </c>
      <c r="Q48" s="186">
        <v>2</v>
      </c>
      <c r="R48" s="195">
        <v>3.8E-3</v>
      </c>
      <c r="S48" s="183"/>
      <c r="T48" s="184"/>
      <c r="U48" s="185" t="s">
        <v>158</v>
      </c>
      <c r="V48" s="184" t="s">
        <v>40</v>
      </c>
      <c r="W48" s="181">
        <v>73.3</v>
      </c>
      <c r="X48" s="181">
        <v>25.8</v>
      </c>
      <c r="Y48" s="181">
        <v>47.5</v>
      </c>
      <c r="Z48" s="181">
        <v>0.6</v>
      </c>
      <c r="AA48" s="186">
        <v>42</v>
      </c>
      <c r="AB48" s="181">
        <v>0</v>
      </c>
      <c r="AC48" s="186">
        <v>261</v>
      </c>
      <c r="AD48" s="187">
        <v>0.56999999999999995</v>
      </c>
    </row>
    <row r="49" spans="1:30" ht="19" customHeight="1">
      <c r="A49" s="146"/>
      <c r="B49" s="147"/>
      <c r="C49" s="140"/>
      <c r="D49" s="90" t="s">
        <v>198</v>
      </c>
      <c r="E49" s="225" t="s">
        <v>164</v>
      </c>
      <c r="F49" s="196"/>
      <c r="G49" s="190"/>
      <c r="H49" s="190">
        <v>2.6680000000000001</v>
      </c>
      <c r="I49" s="191">
        <v>43.6</v>
      </c>
      <c r="J49" s="190"/>
      <c r="K49" s="191"/>
      <c r="L49" s="181">
        <v>0</v>
      </c>
      <c r="M49" s="181">
        <v>17.2</v>
      </c>
      <c r="N49" s="181">
        <v>31.9</v>
      </c>
      <c r="O49" s="181">
        <v>50.9</v>
      </c>
      <c r="P49" s="181">
        <f t="shared" si="1"/>
        <v>82.8</v>
      </c>
      <c r="Q49" s="186">
        <v>2</v>
      </c>
      <c r="R49" s="195">
        <v>4.5999999999999999E-3</v>
      </c>
      <c r="S49" s="183"/>
      <c r="T49" s="184"/>
      <c r="U49" s="185" t="s">
        <v>154</v>
      </c>
      <c r="V49" s="184" t="s">
        <v>43</v>
      </c>
      <c r="W49" s="181">
        <v>63.5</v>
      </c>
      <c r="X49" s="181">
        <v>25.6</v>
      </c>
      <c r="Y49" s="181">
        <v>37.9</v>
      </c>
      <c r="Z49" s="181">
        <v>0.5</v>
      </c>
      <c r="AA49" s="186"/>
      <c r="AB49" s="181"/>
      <c r="AC49" s="186"/>
      <c r="AD49" s="187"/>
    </row>
    <row r="50" spans="1:30" ht="19" customHeight="1">
      <c r="A50" s="146"/>
      <c r="B50" s="147"/>
      <c r="C50" s="140"/>
      <c r="D50" s="90" t="s">
        <v>199</v>
      </c>
      <c r="E50" s="189" t="s">
        <v>200</v>
      </c>
      <c r="F50" s="190"/>
      <c r="G50" s="190"/>
      <c r="H50" s="190">
        <v>2.6720000000000002</v>
      </c>
      <c r="I50" s="191">
        <v>42.8</v>
      </c>
      <c r="J50" s="190"/>
      <c r="K50" s="191"/>
      <c r="L50" s="181">
        <v>0</v>
      </c>
      <c r="M50" s="181">
        <v>12.2</v>
      </c>
      <c r="N50" s="181">
        <v>38.799999999999997</v>
      </c>
      <c r="O50" s="181">
        <v>49</v>
      </c>
      <c r="P50" s="181">
        <f t="shared" si="1"/>
        <v>87.8</v>
      </c>
      <c r="Q50" s="186">
        <v>2</v>
      </c>
      <c r="R50" s="195">
        <v>5.3E-3</v>
      </c>
      <c r="S50" s="183"/>
      <c r="T50" s="184"/>
      <c r="U50" s="185" t="s">
        <v>158</v>
      </c>
      <c r="V50" s="184" t="s">
        <v>40</v>
      </c>
      <c r="W50" s="181">
        <v>62.2</v>
      </c>
      <c r="X50" s="181">
        <v>26.4</v>
      </c>
      <c r="Y50" s="181">
        <v>35.799999999999997</v>
      </c>
      <c r="Z50" s="181">
        <v>0.5</v>
      </c>
      <c r="AA50" s="186"/>
      <c r="AB50" s="181"/>
      <c r="AC50" s="186"/>
      <c r="AD50" s="187"/>
    </row>
    <row r="51" spans="1:30" ht="19" customHeight="1">
      <c r="A51" s="146"/>
      <c r="B51" s="147"/>
      <c r="C51" s="149"/>
      <c r="D51" s="90" t="s">
        <v>201</v>
      </c>
      <c r="E51" s="189" t="s">
        <v>202</v>
      </c>
      <c r="F51" s="190">
        <v>1.6339999999999999</v>
      </c>
      <c r="G51" s="190">
        <v>1.0189999999999999</v>
      </c>
      <c r="H51" s="190">
        <v>2.6349999999999998</v>
      </c>
      <c r="I51" s="191">
        <v>60.4</v>
      </c>
      <c r="J51" s="190">
        <v>1.5860000000000001</v>
      </c>
      <c r="K51" s="191">
        <v>100.3</v>
      </c>
      <c r="L51" s="181">
        <v>0</v>
      </c>
      <c r="M51" s="181">
        <v>0.5</v>
      </c>
      <c r="N51" s="181">
        <v>43.2</v>
      </c>
      <c r="O51" s="181">
        <v>56.3</v>
      </c>
      <c r="P51" s="181">
        <f t="shared" si="1"/>
        <v>99.5</v>
      </c>
      <c r="Q51" s="194">
        <v>0.42499999999999999</v>
      </c>
      <c r="R51" s="195">
        <v>4.0000000000000001E-3</v>
      </c>
      <c r="S51" s="183"/>
      <c r="T51" s="184"/>
      <c r="U51" s="185" t="s">
        <v>175</v>
      </c>
      <c r="V51" s="184" t="s">
        <v>35</v>
      </c>
      <c r="W51" s="181">
        <v>104.1</v>
      </c>
      <c r="X51" s="181">
        <v>30.7</v>
      </c>
      <c r="Y51" s="181">
        <v>73.400000000000006</v>
      </c>
      <c r="Z51" s="181">
        <v>0.6</v>
      </c>
      <c r="AA51" s="186">
        <v>107</v>
      </c>
      <c r="AB51" s="181">
        <v>0</v>
      </c>
      <c r="AC51" s="186">
        <v>306</v>
      </c>
      <c r="AD51" s="187">
        <v>0.79</v>
      </c>
    </row>
    <row r="52" spans="1:30" ht="19" customHeight="1">
      <c r="A52" s="146"/>
      <c r="B52" s="147"/>
      <c r="C52" s="149"/>
      <c r="D52" s="90" t="s">
        <v>203</v>
      </c>
      <c r="E52" s="189" t="s">
        <v>204</v>
      </c>
      <c r="F52" s="190">
        <v>1.625</v>
      </c>
      <c r="G52" s="190">
        <v>1.0009999999999999</v>
      </c>
      <c r="H52" s="190">
        <v>2.6709999999999998</v>
      </c>
      <c r="I52" s="191">
        <v>62.4</v>
      </c>
      <c r="J52" s="190">
        <v>1.669</v>
      </c>
      <c r="K52" s="191">
        <v>99.9</v>
      </c>
      <c r="L52" s="181">
        <v>0</v>
      </c>
      <c r="M52" s="181">
        <v>0.4</v>
      </c>
      <c r="N52" s="181">
        <v>38.1</v>
      </c>
      <c r="O52" s="181">
        <v>61.5</v>
      </c>
      <c r="P52" s="181">
        <f t="shared" si="1"/>
        <v>99.6</v>
      </c>
      <c r="Q52" s="194">
        <v>0.42499999999999999</v>
      </c>
      <c r="R52" s="195">
        <v>2.8999999999999998E-3</v>
      </c>
      <c r="S52" s="183"/>
      <c r="T52" s="184"/>
      <c r="U52" s="185" t="s">
        <v>175</v>
      </c>
      <c r="V52" s="184" t="s">
        <v>35</v>
      </c>
      <c r="W52" s="181">
        <v>107.1</v>
      </c>
      <c r="X52" s="181">
        <v>33</v>
      </c>
      <c r="Y52" s="181">
        <v>74.099999999999994</v>
      </c>
      <c r="Z52" s="181">
        <v>0.6</v>
      </c>
      <c r="AA52" s="186">
        <v>110</v>
      </c>
      <c r="AB52" s="181">
        <v>0</v>
      </c>
      <c r="AC52" s="186">
        <v>329</v>
      </c>
      <c r="AD52" s="187">
        <v>0.85</v>
      </c>
    </row>
    <row r="53" spans="1:30" ht="19" customHeight="1">
      <c r="A53" s="146"/>
      <c r="B53" s="147"/>
      <c r="C53" s="149"/>
      <c r="D53" s="90" t="s">
        <v>205</v>
      </c>
      <c r="E53" s="189" t="s">
        <v>206</v>
      </c>
      <c r="F53" s="190">
        <v>1.732</v>
      </c>
      <c r="G53" s="190">
        <v>1.169</v>
      </c>
      <c r="H53" s="190">
        <v>2.7010000000000001</v>
      </c>
      <c r="I53" s="191">
        <v>48.2</v>
      </c>
      <c r="J53" s="190">
        <v>1.3129999999999999</v>
      </c>
      <c r="K53" s="191">
        <v>99.2</v>
      </c>
      <c r="L53" s="181">
        <v>0</v>
      </c>
      <c r="M53" s="181">
        <v>2.9</v>
      </c>
      <c r="N53" s="181">
        <v>50.9</v>
      </c>
      <c r="O53" s="181">
        <v>46.2</v>
      </c>
      <c r="P53" s="181">
        <f t="shared" si="1"/>
        <v>97.1</v>
      </c>
      <c r="Q53" s="194">
        <v>0.85</v>
      </c>
      <c r="R53" s="195">
        <v>5.7999999999999996E-3</v>
      </c>
      <c r="S53" s="183"/>
      <c r="T53" s="184"/>
      <c r="U53" s="185" t="s">
        <v>175</v>
      </c>
      <c r="V53" s="184" t="s">
        <v>35</v>
      </c>
      <c r="W53" s="181">
        <v>66.900000000000006</v>
      </c>
      <c r="X53" s="181">
        <v>24.4</v>
      </c>
      <c r="Y53" s="181">
        <v>42.5</v>
      </c>
      <c r="Z53" s="181">
        <v>0.4</v>
      </c>
      <c r="AA53" s="186">
        <v>52</v>
      </c>
      <c r="AB53" s="181">
        <v>0</v>
      </c>
      <c r="AC53" s="186">
        <v>330</v>
      </c>
      <c r="AD53" s="187">
        <v>0.55000000000000004</v>
      </c>
    </row>
    <row r="54" spans="1:30" ht="19" customHeight="1">
      <c r="A54" s="146"/>
      <c r="B54" s="147"/>
      <c r="C54" s="150"/>
      <c r="D54" s="90" t="s">
        <v>207</v>
      </c>
      <c r="E54" s="189" t="s">
        <v>208</v>
      </c>
      <c r="F54" s="190">
        <v>1.5469999999999999</v>
      </c>
      <c r="G54" s="190">
        <v>0.90300000000000002</v>
      </c>
      <c r="H54" s="190">
        <v>2.6659999999999999</v>
      </c>
      <c r="I54" s="191">
        <v>71.400000000000006</v>
      </c>
      <c r="J54" s="190">
        <v>1.9530000000000001</v>
      </c>
      <c r="K54" s="191">
        <v>97.4</v>
      </c>
      <c r="L54" s="181">
        <v>2.2999999999999998</v>
      </c>
      <c r="M54" s="181">
        <v>3.3</v>
      </c>
      <c r="N54" s="181">
        <v>47.2</v>
      </c>
      <c r="O54" s="181">
        <v>47.2</v>
      </c>
      <c r="P54" s="181">
        <f t="shared" ref="P54:P55" si="2">N54+O54</f>
        <v>94.4</v>
      </c>
      <c r="Q54" s="181">
        <v>9.5</v>
      </c>
      <c r="R54" s="195">
        <v>5.7000000000000002E-3</v>
      </c>
      <c r="S54" s="183"/>
      <c r="T54" s="184"/>
      <c r="U54" s="185" t="s">
        <v>209</v>
      </c>
      <c r="V54" s="184" t="s">
        <v>210</v>
      </c>
      <c r="W54" s="181">
        <v>104.3</v>
      </c>
      <c r="X54" s="181">
        <v>43</v>
      </c>
      <c r="Y54" s="181">
        <v>61.3</v>
      </c>
      <c r="Z54" s="181">
        <v>0.5</v>
      </c>
      <c r="AA54" s="186">
        <v>58</v>
      </c>
      <c r="AB54" s="181">
        <v>0</v>
      </c>
      <c r="AC54" s="186">
        <v>299</v>
      </c>
      <c r="AD54" s="187">
        <v>0.91</v>
      </c>
    </row>
    <row r="55" spans="1:30" ht="19" customHeight="1">
      <c r="A55" s="146"/>
      <c r="B55" s="147"/>
      <c r="C55" s="150"/>
      <c r="D55" s="90" t="s">
        <v>211</v>
      </c>
      <c r="E55" s="189" t="s">
        <v>212</v>
      </c>
      <c r="F55" s="190">
        <v>1.7490000000000001</v>
      </c>
      <c r="G55" s="190">
        <v>1.206</v>
      </c>
      <c r="H55" s="190">
        <v>2.6709999999999998</v>
      </c>
      <c r="I55" s="191">
        <v>45.1</v>
      </c>
      <c r="J55" s="190">
        <v>1.216</v>
      </c>
      <c r="K55" s="191">
        <v>99</v>
      </c>
      <c r="L55" s="181">
        <v>0</v>
      </c>
      <c r="M55" s="181">
        <v>7.7</v>
      </c>
      <c r="N55" s="181">
        <v>63.5</v>
      </c>
      <c r="O55" s="181">
        <v>28.8</v>
      </c>
      <c r="P55" s="181">
        <f t="shared" si="2"/>
        <v>92.3</v>
      </c>
      <c r="Q55" s="194">
        <v>0.42499999999999999</v>
      </c>
      <c r="R55" s="194">
        <v>2.1000000000000001E-2</v>
      </c>
      <c r="S55" s="183"/>
      <c r="T55" s="184"/>
      <c r="U55" s="185" t="s">
        <v>158</v>
      </c>
      <c r="V55" s="184" t="s">
        <v>40</v>
      </c>
      <c r="W55" s="181">
        <v>60.9</v>
      </c>
      <c r="X55" s="181">
        <v>25.2</v>
      </c>
      <c r="Y55" s="181">
        <v>35.700000000000003</v>
      </c>
      <c r="Z55" s="181">
        <v>0.4</v>
      </c>
      <c r="AA55" s="186">
        <v>167</v>
      </c>
      <c r="AB55" s="181">
        <v>0</v>
      </c>
      <c r="AC55" s="186">
        <v>575</v>
      </c>
      <c r="AD55" s="187">
        <v>0.77</v>
      </c>
    </row>
    <row r="56" spans="1:30" s="80" customFormat="1" ht="19" customHeight="1" thickBot="1">
      <c r="A56" s="146"/>
      <c r="B56" s="148"/>
      <c r="C56" s="151"/>
      <c r="D56" s="143" t="s">
        <v>213</v>
      </c>
      <c r="E56" s="204" t="s">
        <v>214</v>
      </c>
      <c r="F56" s="205">
        <v>1.7490000000000001</v>
      </c>
      <c r="G56" s="205">
        <v>1.1970000000000001</v>
      </c>
      <c r="H56" s="205">
        <v>2.6819999999999999</v>
      </c>
      <c r="I56" s="206">
        <v>46.1</v>
      </c>
      <c r="J56" s="205">
        <v>1.2410000000000001</v>
      </c>
      <c r="K56" s="206">
        <v>99.7</v>
      </c>
      <c r="L56" s="197">
        <v>0</v>
      </c>
      <c r="M56" s="197">
        <v>0.4</v>
      </c>
      <c r="N56" s="197">
        <v>73.400000000000006</v>
      </c>
      <c r="O56" s="197">
        <v>26.2</v>
      </c>
      <c r="P56" s="197">
        <f t="shared" si="1"/>
        <v>99.600000000000009</v>
      </c>
      <c r="Q56" s="198">
        <v>0.25</v>
      </c>
      <c r="R56" s="198">
        <v>1.4E-2</v>
      </c>
      <c r="S56" s="199"/>
      <c r="T56" s="200"/>
      <c r="U56" s="201" t="s">
        <v>175</v>
      </c>
      <c r="V56" s="200" t="s">
        <v>35</v>
      </c>
      <c r="W56" s="197">
        <v>71.5</v>
      </c>
      <c r="X56" s="197">
        <v>29.8</v>
      </c>
      <c r="Y56" s="197">
        <v>41.7</v>
      </c>
      <c r="Z56" s="197">
        <v>0.6</v>
      </c>
      <c r="AA56" s="202">
        <v>201</v>
      </c>
      <c r="AB56" s="197">
        <v>0</v>
      </c>
      <c r="AC56" s="202">
        <v>762</v>
      </c>
      <c r="AD56" s="203">
        <v>0.77</v>
      </c>
    </row>
    <row r="57" spans="1:30" s="80" customFormat="1" ht="19" customHeight="1" thickBot="1">
      <c r="B57" s="142"/>
      <c r="C57" s="100"/>
      <c r="D57" s="81"/>
      <c r="E57" s="83"/>
      <c r="F57" s="85"/>
      <c r="G57" s="85"/>
      <c r="H57" s="85"/>
      <c r="I57" s="84"/>
      <c r="J57" s="85"/>
      <c r="K57" s="84"/>
      <c r="L57" s="82"/>
      <c r="M57" s="82"/>
      <c r="N57" s="82"/>
      <c r="O57" s="82"/>
      <c r="P57" s="82"/>
      <c r="Q57" s="89"/>
      <c r="R57" s="89"/>
      <c r="S57" s="86"/>
      <c r="T57" s="81"/>
      <c r="U57" s="87"/>
      <c r="V57" s="81"/>
      <c r="W57" s="82"/>
      <c r="X57" s="82"/>
      <c r="Y57" s="82"/>
      <c r="Z57" s="82"/>
      <c r="AA57" s="98"/>
      <c r="AB57" s="82"/>
      <c r="AC57" s="98"/>
      <c r="AD57" s="88"/>
    </row>
    <row r="58" spans="1:30" s="80" customFormat="1" ht="28" customHeight="1">
      <c r="B58" s="121" t="s">
        <v>51</v>
      </c>
      <c r="C58" s="122" t="s">
        <v>67</v>
      </c>
      <c r="D58" s="123" t="s">
        <v>68</v>
      </c>
      <c r="E58" s="123" t="s">
        <v>69</v>
      </c>
      <c r="F58" s="124" t="s">
        <v>70</v>
      </c>
      <c r="G58" s="124" t="s">
        <v>71</v>
      </c>
      <c r="H58" s="125" t="s">
        <v>265</v>
      </c>
      <c r="I58" s="124" t="s">
        <v>73</v>
      </c>
      <c r="J58" s="124" t="s">
        <v>74</v>
      </c>
      <c r="K58" s="124" t="s">
        <v>75</v>
      </c>
      <c r="L58" s="126" t="s">
        <v>76</v>
      </c>
      <c r="M58" s="126"/>
      <c r="N58" s="126"/>
      <c r="O58" s="126"/>
      <c r="P58" s="126"/>
      <c r="Q58" s="123"/>
      <c r="R58" s="123"/>
      <c r="S58" s="122"/>
      <c r="T58" s="123"/>
      <c r="U58" s="127" t="s">
        <v>77</v>
      </c>
      <c r="V58" s="123"/>
      <c r="W58" s="123" t="s">
        <v>78</v>
      </c>
      <c r="X58" s="123"/>
      <c r="Y58" s="123"/>
      <c r="Z58" s="123"/>
      <c r="AA58" s="123" t="s">
        <v>79</v>
      </c>
      <c r="AB58" s="126"/>
      <c r="AC58" s="123" t="s">
        <v>80</v>
      </c>
      <c r="AD58" s="128" t="s">
        <v>81</v>
      </c>
    </row>
    <row r="59" spans="1:30" ht="42" customHeight="1" thickBot="1">
      <c r="B59" s="130"/>
      <c r="C59" s="94"/>
      <c r="D59" s="132"/>
      <c r="E59" s="132" t="s">
        <v>82</v>
      </c>
      <c r="F59" s="131" t="s">
        <v>83</v>
      </c>
      <c r="G59" s="131" t="s">
        <v>84</v>
      </c>
      <c r="H59" s="131" t="s">
        <v>85</v>
      </c>
      <c r="I59" s="131" t="s">
        <v>86</v>
      </c>
      <c r="J59" s="131" t="s">
        <v>87</v>
      </c>
      <c r="K59" s="131" t="s">
        <v>88</v>
      </c>
      <c r="L59" s="131" t="s">
        <v>89</v>
      </c>
      <c r="M59" s="131" t="s">
        <v>90</v>
      </c>
      <c r="N59" s="131" t="s">
        <v>91</v>
      </c>
      <c r="O59" s="131" t="s">
        <v>92</v>
      </c>
      <c r="P59" s="131" t="s">
        <v>93</v>
      </c>
      <c r="Q59" s="131" t="s">
        <v>94</v>
      </c>
      <c r="R59" s="131" t="s">
        <v>95</v>
      </c>
      <c r="S59" s="131" t="s">
        <v>96</v>
      </c>
      <c r="T59" s="131" t="s">
        <v>97</v>
      </c>
      <c r="U59" s="131" t="s">
        <v>77</v>
      </c>
      <c r="V59" s="131" t="s">
        <v>98</v>
      </c>
      <c r="W59" s="131" t="s">
        <v>99</v>
      </c>
      <c r="X59" s="131" t="s">
        <v>100</v>
      </c>
      <c r="Y59" s="131" t="s">
        <v>101</v>
      </c>
      <c r="Z59" s="131" t="s">
        <v>102</v>
      </c>
      <c r="AA59" s="131" t="s">
        <v>103</v>
      </c>
      <c r="AB59" s="131" t="s">
        <v>104</v>
      </c>
      <c r="AC59" s="133" t="s">
        <v>105</v>
      </c>
      <c r="AD59" s="134" t="s">
        <v>106</v>
      </c>
    </row>
    <row r="60" spans="1:30" ht="19" customHeight="1">
      <c r="B60" s="135" t="s">
        <v>215</v>
      </c>
      <c r="C60" s="138"/>
      <c r="D60" s="178" t="s">
        <v>216</v>
      </c>
      <c r="E60" s="178" t="s">
        <v>217</v>
      </c>
      <c r="F60" s="207"/>
      <c r="G60" s="207"/>
      <c r="H60" s="207"/>
      <c r="I60" s="207"/>
      <c r="J60" s="210"/>
      <c r="K60" s="210"/>
      <c r="L60" s="207">
        <v>43.3</v>
      </c>
      <c r="M60" s="207">
        <v>42.6</v>
      </c>
      <c r="N60" s="209">
        <v>14.1</v>
      </c>
      <c r="O60" s="209"/>
      <c r="P60" s="207">
        <v>14.1</v>
      </c>
      <c r="Q60" s="207" t="s">
        <v>122</v>
      </c>
      <c r="R60" s="207" t="s">
        <v>218</v>
      </c>
      <c r="S60" s="207"/>
      <c r="T60" s="207"/>
      <c r="U60" s="207" t="s">
        <v>32</v>
      </c>
      <c r="V60" s="207" t="s">
        <v>50</v>
      </c>
      <c r="W60" s="207"/>
      <c r="X60" s="207"/>
      <c r="Y60" s="207"/>
      <c r="Z60" s="207"/>
      <c r="AA60" s="207"/>
      <c r="AB60" s="207"/>
      <c r="AC60" s="207"/>
      <c r="AD60" s="208"/>
    </row>
    <row r="61" spans="1:30" ht="19" customHeight="1">
      <c r="B61" s="136"/>
      <c r="C61" s="139"/>
      <c r="D61" s="145" t="s">
        <v>219</v>
      </c>
      <c r="E61" s="189" t="s">
        <v>112</v>
      </c>
      <c r="F61" s="189"/>
      <c r="G61" s="189"/>
      <c r="H61" s="190"/>
      <c r="I61" s="191"/>
      <c r="J61" s="191"/>
      <c r="K61" s="191"/>
      <c r="L61" s="181">
        <v>36.299999999999997</v>
      </c>
      <c r="M61" s="181">
        <v>39.9</v>
      </c>
      <c r="N61" s="188">
        <v>23.8</v>
      </c>
      <c r="O61" s="188"/>
      <c r="P61" s="181">
        <f t="shared" ref="P61:P87" si="3">SUM(N61:O61)</f>
        <v>23.8</v>
      </c>
      <c r="Q61" s="184" t="s">
        <v>122</v>
      </c>
      <c r="R61" s="184" t="s">
        <v>220</v>
      </c>
      <c r="S61" s="183"/>
      <c r="T61" s="184"/>
      <c r="U61" s="185" t="s">
        <v>21</v>
      </c>
      <c r="V61" s="184" t="s">
        <v>113</v>
      </c>
      <c r="W61" s="181"/>
      <c r="X61" s="181"/>
      <c r="Y61" s="181"/>
      <c r="Z61" s="181"/>
      <c r="AA61" s="184"/>
      <c r="AB61" s="181"/>
      <c r="AC61" s="184"/>
      <c r="AD61" s="211"/>
    </row>
    <row r="62" spans="1:30" ht="19" customHeight="1">
      <c r="B62" s="136"/>
      <c r="C62" s="139"/>
      <c r="D62" s="90" t="s">
        <v>221</v>
      </c>
      <c r="E62" s="189" t="s">
        <v>115</v>
      </c>
      <c r="F62" s="189"/>
      <c r="G62" s="189"/>
      <c r="H62" s="190"/>
      <c r="I62" s="191"/>
      <c r="J62" s="191"/>
      <c r="K62" s="191"/>
      <c r="L62" s="181">
        <v>40.5</v>
      </c>
      <c r="M62" s="181">
        <v>40.299999999999997</v>
      </c>
      <c r="N62" s="188">
        <v>19.2</v>
      </c>
      <c r="O62" s="188"/>
      <c r="P62" s="181">
        <f t="shared" si="3"/>
        <v>19.2</v>
      </c>
      <c r="Q62" s="181" t="s">
        <v>110</v>
      </c>
      <c r="R62" s="181" t="s">
        <v>130</v>
      </c>
      <c r="S62" s="183"/>
      <c r="T62" s="184"/>
      <c r="U62" s="185" t="s">
        <v>131</v>
      </c>
      <c r="V62" s="184" t="s">
        <v>132</v>
      </c>
      <c r="W62" s="181"/>
      <c r="X62" s="181"/>
      <c r="Y62" s="181"/>
      <c r="Z62" s="181"/>
      <c r="AA62" s="184"/>
      <c r="AB62" s="181"/>
      <c r="AC62" s="184"/>
      <c r="AD62" s="211"/>
    </row>
    <row r="63" spans="1:30" ht="19" customHeight="1">
      <c r="B63" s="136"/>
      <c r="C63" s="139"/>
      <c r="D63" s="90" t="s">
        <v>222</v>
      </c>
      <c r="E63" s="189" t="s">
        <v>223</v>
      </c>
      <c r="F63" s="189"/>
      <c r="G63" s="189"/>
      <c r="H63" s="190"/>
      <c r="I63" s="191"/>
      <c r="J63" s="191"/>
      <c r="K63" s="191"/>
      <c r="L63" s="181">
        <v>66.3</v>
      </c>
      <c r="M63" s="181">
        <v>27</v>
      </c>
      <c r="N63" s="188">
        <v>6.7</v>
      </c>
      <c r="O63" s="188"/>
      <c r="P63" s="181">
        <f t="shared" si="3"/>
        <v>6.7</v>
      </c>
      <c r="Q63" s="181" t="s">
        <v>122</v>
      </c>
      <c r="R63" s="182" t="s">
        <v>224</v>
      </c>
      <c r="S63" s="183"/>
      <c r="T63" s="184"/>
      <c r="U63" s="185" t="s">
        <v>32</v>
      </c>
      <c r="V63" s="184" t="s">
        <v>50</v>
      </c>
      <c r="W63" s="181"/>
      <c r="X63" s="181"/>
      <c r="Y63" s="181"/>
      <c r="Z63" s="181"/>
      <c r="AA63" s="184"/>
      <c r="AB63" s="181"/>
      <c r="AC63" s="184"/>
      <c r="AD63" s="211"/>
    </row>
    <row r="64" spans="1:30" ht="19" customHeight="1">
      <c r="B64" s="136"/>
      <c r="C64" s="140"/>
      <c r="D64" s="90" t="s">
        <v>225</v>
      </c>
      <c r="E64" s="189" t="s">
        <v>226</v>
      </c>
      <c r="F64" s="189"/>
      <c r="G64" s="189"/>
      <c r="H64" s="190">
        <v>2.6469999999999998</v>
      </c>
      <c r="I64" s="191"/>
      <c r="J64" s="191"/>
      <c r="K64" s="191"/>
      <c r="L64" s="181">
        <v>20.2</v>
      </c>
      <c r="M64" s="181">
        <v>41.3</v>
      </c>
      <c r="N64" s="181">
        <v>19.2</v>
      </c>
      <c r="O64" s="181">
        <v>19.3</v>
      </c>
      <c r="P64" s="181">
        <f t="shared" si="3"/>
        <v>38.5</v>
      </c>
      <c r="Q64" s="181" t="s">
        <v>110</v>
      </c>
      <c r="R64" s="195" t="s">
        <v>119</v>
      </c>
      <c r="S64" s="183"/>
      <c r="T64" s="184"/>
      <c r="U64" s="185" t="s">
        <v>21</v>
      </c>
      <c r="V64" s="184" t="s">
        <v>113</v>
      </c>
      <c r="W64" s="181">
        <v>48.3</v>
      </c>
      <c r="X64" s="181">
        <v>26.3</v>
      </c>
      <c r="Y64" s="181">
        <v>22</v>
      </c>
      <c r="Z64" s="181"/>
      <c r="AA64" s="184"/>
      <c r="AB64" s="181"/>
      <c r="AC64" s="184"/>
      <c r="AD64" s="211"/>
    </row>
    <row r="65" spans="2:31" ht="19" customHeight="1">
      <c r="B65" s="136"/>
      <c r="C65" s="140"/>
      <c r="D65" s="90" t="s">
        <v>227</v>
      </c>
      <c r="E65" s="189" t="s">
        <v>228</v>
      </c>
      <c r="F65" s="189"/>
      <c r="G65" s="189"/>
      <c r="H65" s="190"/>
      <c r="I65" s="191"/>
      <c r="J65" s="191"/>
      <c r="K65" s="191"/>
      <c r="L65" s="181">
        <v>59.9</v>
      </c>
      <c r="M65" s="181">
        <v>22.1</v>
      </c>
      <c r="N65" s="188">
        <v>18</v>
      </c>
      <c r="O65" s="188"/>
      <c r="P65" s="181">
        <f t="shared" si="3"/>
        <v>18</v>
      </c>
      <c r="Q65" s="194" t="s">
        <v>122</v>
      </c>
      <c r="R65" s="182" t="s">
        <v>229</v>
      </c>
      <c r="S65" s="183"/>
      <c r="T65" s="184"/>
      <c r="U65" s="185" t="s">
        <v>131</v>
      </c>
      <c r="V65" s="184" t="s">
        <v>132</v>
      </c>
      <c r="W65" s="181"/>
      <c r="X65" s="181"/>
      <c r="Y65" s="181"/>
      <c r="Z65" s="181"/>
      <c r="AA65" s="184"/>
      <c r="AB65" s="181"/>
      <c r="AC65" s="184"/>
      <c r="AD65" s="211"/>
    </row>
    <row r="66" spans="2:31" ht="19" customHeight="1">
      <c r="B66" s="136"/>
      <c r="C66" s="140"/>
      <c r="D66" s="90" t="s">
        <v>230</v>
      </c>
      <c r="E66" s="189" t="s">
        <v>231</v>
      </c>
      <c r="F66" s="189"/>
      <c r="G66" s="189"/>
      <c r="H66" s="190"/>
      <c r="I66" s="191"/>
      <c r="J66" s="191"/>
      <c r="K66" s="191"/>
      <c r="L66" s="181">
        <v>43.7</v>
      </c>
      <c r="M66" s="181">
        <v>51</v>
      </c>
      <c r="N66" s="188">
        <v>5.3</v>
      </c>
      <c r="O66" s="188"/>
      <c r="P66" s="181">
        <f t="shared" si="3"/>
        <v>5.3</v>
      </c>
      <c r="Q66" s="184" t="s">
        <v>122</v>
      </c>
      <c r="R66" s="195" t="s">
        <v>232</v>
      </c>
      <c r="S66" s="183"/>
      <c r="T66" s="184"/>
      <c r="U66" s="185" t="s">
        <v>23</v>
      </c>
      <c r="V66" s="184" t="s">
        <v>39</v>
      </c>
      <c r="W66" s="181"/>
      <c r="X66" s="181"/>
      <c r="Y66" s="181"/>
      <c r="Z66" s="181"/>
      <c r="AA66" s="184"/>
      <c r="AB66" s="181"/>
      <c r="AC66" s="184"/>
      <c r="AD66" s="211"/>
    </row>
    <row r="67" spans="2:31" ht="19" customHeight="1">
      <c r="B67" s="136"/>
      <c r="C67" s="140"/>
      <c r="D67" s="90" t="s">
        <v>233</v>
      </c>
      <c r="E67" s="189" t="s">
        <v>234</v>
      </c>
      <c r="F67" s="189"/>
      <c r="G67" s="189"/>
      <c r="H67" s="190"/>
      <c r="I67" s="191"/>
      <c r="J67" s="191"/>
      <c r="K67" s="191"/>
      <c r="L67" s="181">
        <v>65.400000000000006</v>
      </c>
      <c r="M67" s="181">
        <v>27.3</v>
      </c>
      <c r="N67" s="188">
        <v>7.3</v>
      </c>
      <c r="O67" s="188"/>
      <c r="P67" s="181">
        <f t="shared" si="3"/>
        <v>7.3</v>
      </c>
      <c r="Q67" s="186" t="s">
        <v>122</v>
      </c>
      <c r="R67" s="194" t="s">
        <v>235</v>
      </c>
      <c r="S67" s="183"/>
      <c r="T67" s="184"/>
      <c r="U67" s="185" t="s">
        <v>32</v>
      </c>
      <c r="V67" s="184" t="s">
        <v>50</v>
      </c>
      <c r="W67" s="181"/>
      <c r="X67" s="181"/>
      <c r="Y67" s="181"/>
      <c r="Z67" s="181"/>
      <c r="AA67" s="184"/>
      <c r="AB67" s="181"/>
      <c r="AC67" s="184"/>
      <c r="AD67" s="211"/>
    </row>
    <row r="68" spans="2:31" ht="19" customHeight="1">
      <c r="B68" s="136"/>
      <c r="C68" s="140"/>
      <c r="D68" s="90" t="s">
        <v>236</v>
      </c>
      <c r="E68" s="189" t="s">
        <v>237</v>
      </c>
      <c r="F68" s="189"/>
      <c r="G68" s="189"/>
      <c r="H68" s="190"/>
      <c r="I68" s="191"/>
      <c r="J68" s="191"/>
      <c r="K68" s="191"/>
      <c r="L68" s="181">
        <v>49.4</v>
      </c>
      <c r="M68" s="181">
        <v>40</v>
      </c>
      <c r="N68" s="188">
        <v>10.6</v>
      </c>
      <c r="O68" s="188"/>
      <c r="P68" s="181">
        <f t="shared" si="3"/>
        <v>10.6</v>
      </c>
      <c r="Q68" s="184" t="s">
        <v>110</v>
      </c>
      <c r="R68" s="184" t="s">
        <v>238</v>
      </c>
      <c r="S68" s="183"/>
      <c r="T68" s="184"/>
      <c r="U68" s="185" t="s">
        <v>32</v>
      </c>
      <c r="V68" s="184" t="s">
        <v>50</v>
      </c>
      <c r="W68" s="181"/>
      <c r="X68" s="181"/>
      <c r="Y68" s="181"/>
      <c r="Z68" s="181"/>
      <c r="AA68" s="184"/>
      <c r="AB68" s="184"/>
      <c r="AC68" s="184"/>
      <c r="AD68" s="211"/>
    </row>
    <row r="69" spans="2:31" ht="19" customHeight="1">
      <c r="B69" s="136"/>
      <c r="C69" s="140"/>
      <c r="D69" s="90" t="s">
        <v>239</v>
      </c>
      <c r="E69" s="189" t="s">
        <v>240</v>
      </c>
      <c r="F69" s="189"/>
      <c r="G69" s="189"/>
      <c r="H69" s="190"/>
      <c r="I69" s="191"/>
      <c r="J69" s="191"/>
      <c r="K69" s="191"/>
      <c r="L69" s="181">
        <v>29.5</v>
      </c>
      <c r="M69" s="181">
        <v>42.7</v>
      </c>
      <c r="N69" s="188">
        <v>27.8</v>
      </c>
      <c r="O69" s="188"/>
      <c r="P69" s="181">
        <f t="shared" si="3"/>
        <v>27.8</v>
      </c>
      <c r="Q69" s="184" t="s">
        <v>122</v>
      </c>
      <c r="R69" s="194" t="s">
        <v>241</v>
      </c>
      <c r="S69" s="183"/>
      <c r="T69" s="184"/>
      <c r="U69" s="185" t="s">
        <v>21</v>
      </c>
      <c r="V69" s="184" t="s">
        <v>113</v>
      </c>
      <c r="W69" s="181"/>
      <c r="X69" s="181"/>
      <c r="Y69" s="181"/>
      <c r="Z69" s="181"/>
      <c r="AA69" s="184"/>
      <c r="AB69" s="184"/>
      <c r="AC69" s="184"/>
      <c r="AD69" s="211"/>
    </row>
    <row r="70" spans="2:31" ht="19" customHeight="1">
      <c r="B70" s="136"/>
      <c r="C70" s="140"/>
      <c r="D70" s="90" t="s">
        <v>242</v>
      </c>
      <c r="E70" s="189" t="s">
        <v>243</v>
      </c>
      <c r="F70" s="189"/>
      <c r="G70" s="189"/>
      <c r="H70" s="190"/>
      <c r="I70" s="191"/>
      <c r="J70" s="191"/>
      <c r="K70" s="191"/>
      <c r="L70" s="181">
        <v>18.600000000000001</v>
      </c>
      <c r="M70" s="181">
        <v>54.7</v>
      </c>
      <c r="N70" s="188">
        <v>26.7</v>
      </c>
      <c r="O70" s="188"/>
      <c r="P70" s="181">
        <f t="shared" si="3"/>
        <v>26.7</v>
      </c>
      <c r="Q70" s="182" t="s">
        <v>122</v>
      </c>
      <c r="R70" s="194" t="s">
        <v>149</v>
      </c>
      <c r="S70" s="183"/>
      <c r="T70" s="184"/>
      <c r="U70" s="185" t="s">
        <v>21</v>
      </c>
      <c r="V70" s="184" t="s">
        <v>113</v>
      </c>
      <c r="W70" s="181"/>
      <c r="X70" s="181"/>
      <c r="Y70" s="181"/>
      <c r="Z70" s="181"/>
      <c r="AA70" s="184"/>
      <c r="AB70" s="184"/>
      <c r="AC70" s="184"/>
      <c r="AD70" s="211"/>
    </row>
    <row r="71" spans="2:31" ht="19" customHeight="1">
      <c r="B71" s="136"/>
      <c r="C71" s="140"/>
      <c r="D71" s="90" t="s">
        <v>244</v>
      </c>
      <c r="E71" s="189" t="s">
        <v>245</v>
      </c>
      <c r="F71" s="189"/>
      <c r="G71" s="189"/>
      <c r="H71" s="190"/>
      <c r="I71" s="191"/>
      <c r="J71" s="191"/>
      <c r="K71" s="191"/>
      <c r="L71" s="181">
        <v>18.3</v>
      </c>
      <c r="M71" s="181">
        <v>59.6</v>
      </c>
      <c r="N71" s="188">
        <v>22.1</v>
      </c>
      <c r="O71" s="188"/>
      <c r="P71" s="181">
        <f t="shared" si="3"/>
        <v>22.1</v>
      </c>
      <c r="Q71" s="184" t="s">
        <v>110</v>
      </c>
      <c r="R71" s="184" t="s">
        <v>246</v>
      </c>
      <c r="S71" s="183"/>
      <c r="T71" s="184"/>
      <c r="U71" s="185" t="s">
        <v>21</v>
      </c>
      <c r="V71" s="184" t="s">
        <v>113</v>
      </c>
      <c r="W71" s="181"/>
      <c r="X71" s="181"/>
      <c r="Y71" s="181"/>
      <c r="Z71" s="181"/>
      <c r="AA71" s="184"/>
      <c r="AB71" s="184"/>
      <c r="AC71" s="184"/>
      <c r="AD71" s="211"/>
    </row>
    <row r="72" spans="2:31" ht="19" customHeight="1">
      <c r="B72" s="136"/>
      <c r="C72" s="140"/>
      <c r="D72" s="90" t="s">
        <v>247</v>
      </c>
      <c r="E72" s="189" t="s">
        <v>248</v>
      </c>
      <c r="F72" s="189"/>
      <c r="G72" s="189"/>
      <c r="H72" s="190"/>
      <c r="I72" s="191"/>
      <c r="J72" s="191"/>
      <c r="K72" s="191"/>
      <c r="L72" s="181">
        <v>43</v>
      </c>
      <c r="M72" s="181">
        <v>37.4</v>
      </c>
      <c r="N72" s="188">
        <v>19.600000000000001</v>
      </c>
      <c r="O72" s="188"/>
      <c r="P72" s="181">
        <f t="shared" si="3"/>
        <v>19.600000000000001</v>
      </c>
      <c r="Q72" s="181" t="s">
        <v>122</v>
      </c>
      <c r="R72" s="194" t="s">
        <v>249</v>
      </c>
      <c r="S72" s="183"/>
      <c r="T72" s="184"/>
      <c r="U72" s="185" t="s">
        <v>131</v>
      </c>
      <c r="V72" s="184" t="s">
        <v>132</v>
      </c>
      <c r="W72" s="181"/>
      <c r="X72" s="181"/>
      <c r="Y72" s="181"/>
      <c r="Z72" s="181"/>
      <c r="AA72" s="184"/>
      <c r="AB72" s="181"/>
      <c r="AC72" s="184"/>
      <c r="AD72" s="211"/>
    </row>
    <row r="73" spans="2:31" ht="19" customHeight="1">
      <c r="B73" s="136"/>
      <c r="C73" s="140"/>
      <c r="D73" s="90" t="s">
        <v>250</v>
      </c>
      <c r="E73" s="189" t="s">
        <v>251</v>
      </c>
      <c r="F73" s="189"/>
      <c r="G73" s="189"/>
      <c r="H73" s="190"/>
      <c r="I73" s="191"/>
      <c r="J73" s="191"/>
      <c r="K73" s="191"/>
      <c r="L73" s="181">
        <v>47.8</v>
      </c>
      <c r="M73" s="181">
        <v>39.200000000000003</v>
      </c>
      <c r="N73" s="188">
        <v>13</v>
      </c>
      <c r="O73" s="188"/>
      <c r="P73" s="181">
        <f t="shared" si="3"/>
        <v>13</v>
      </c>
      <c r="Q73" s="186" t="s">
        <v>129</v>
      </c>
      <c r="R73" s="184" t="s">
        <v>252</v>
      </c>
      <c r="S73" s="183"/>
      <c r="T73" s="184"/>
      <c r="U73" s="185" t="s">
        <v>32</v>
      </c>
      <c r="V73" s="184" t="s">
        <v>50</v>
      </c>
      <c r="W73" s="181"/>
      <c r="X73" s="181"/>
      <c r="Y73" s="181"/>
      <c r="Z73" s="181"/>
      <c r="AA73" s="184"/>
      <c r="AB73" s="184"/>
      <c r="AC73" s="184"/>
      <c r="AD73" s="211"/>
    </row>
    <row r="74" spans="2:31" ht="19" customHeight="1">
      <c r="B74" s="136"/>
      <c r="C74" s="140"/>
      <c r="D74" s="90" t="s">
        <v>253</v>
      </c>
      <c r="E74" s="189" t="s">
        <v>148</v>
      </c>
      <c r="F74" s="189"/>
      <c r="G74" s="189"/>
      <c r="H74" s="190">
        <v>2.601</v>
      </c>
      <c r="I74" s="191">
        <v>22.4</v>
      </c>
      <c r="J74" s="191"/>
      <c r="K74" s="191"/>
      <c r="L74" s="181">
        <v>4.7</v>
      </c>
      <c r="M74" s="181">
        <v>33.799999999999997</v>
      </c>
      <c r="N74" s="181">
        <v>26.1</v>
      </c>
      <c r="O74" s="181">
        <v>35.4</v>
      </c>
      <c r="P74" s="181">
        <f t="shared" si="3"/>
        <v>61.5</v>
      </c>
      <c r="Q74" s="194" t="s">
        <v>118</v>
      </c>
      <c r="R74" s="184" t="s">
        <v>254</v>
      </c>
      <c r="S74" s="183"/>
      <c r="T74" s="184"/>
      <c r="U74" s="185" t="s">
        <v>255</v>
      </c>
      <c r="V74" s="184" t="s">
        <v>36</v>
      </c>
      <c r="W74" s="181">
        <v>45.9</v>
      </c>
      <c r="X74" s="181">
        <v>17.3</v>
      </c>
      <c r="Y74" s="181">
        <v>28.6</v>
      </c>
      <c r="Z74" s="181">
        <v>0.8</v>
      </c>
      <c r="AA74" s="184"/>
      <c r="AB74" s="181"/>
      <c r="AC74" s="184"/>
      <c r="AD74" s="211"/>
    </row>
    <row r="75" spans="2:31" ht="19" customHeight="1">
      <c r="B75" s="136"/>
      <c r="C75" s="140"/>
      <c r="D75" s="90" t="s">
        <v>256</v>
      </c>
      <c r="E75" s="189" t="s">
        <v>151</v>
      </c>
      <c r="F75" s="189"/>
      <c r="G75" s="189"/>
      <c r="H75" s="190">
        <v>2.593</v>
      </c>
      <c r="I75" s="191">
        <v>22</v>
      </c>
      <c r="J75" s="191"/>
      <c r="K75" s="191"/>
      <c r="L75" s="181">
        <v>19.5</v>
      </c>
      <c r="M75" s="181">
        <v>35.1</v>
      </c>
      <c r="N75" s="181">
        <v>20.5</v>
      </c>
      <c r="O75" s="181">
        <v>24.9</v>
      </c>
      <c r="P75" s="181">
        <f t="shared" si="3"/>
        <v>45.4</v>
      </c>
      <c r="Q75" s="184" t="s">
        <v>110</v>
      </c>
      <c r="R75" s="184" t="s">
        <v>257</v>
      </c>
      <c r="S75" s="183"/>
      <c r="T75" s="184"/>
      <c r="U75" s="185" t="s">
        <v>21</v>
      </c>
      <c r="V75" s="184" t="s">
        <v>113</v>
      </c>
      <c r="W75" s="181">
        <v>49.3</v>
      </c>
      <c r="X75" s="181">
        <v>20.100000000000001</v>
      </c>
      <c r="Y75" s="181">
        <v>29.2</v>
      </c>
      <c r="Z75" s="181">
        <v>0.9</v>
      </c>
      <c r="AA75" s="184"/>
      <c r="AB75" s="184"/>
      <c r="AC75" s="184"/>
      <c r="AD75" s="211"/>
    </row>
    <row r="76" spans="2:31" ht="19" customHeight="1">
      <c r="B76" s="136"/>
      <c r="C76" s="140"/>
      <c r="D76" s="90" t="s">
        <v>258</v>
      </c>
      <c r="E76" s="189" t="s">
        <v>259</v>
      </c>
      <c r="F76" s="189"/>
      <c r="G76" s="189"/>
      <c r="H76" s="190">
        <v>2.5990000000000002</v>
      </c>
      <c r="I76" s="191">
        <v>22.5</v>
      </c>
      <c r="J76" s="191"/>
      <c r="K76" s="191"/>
      <c r="L76" s="181">
        <v>11.3</v>
      </c>
      <c r="M76" s="181">
        <v>44.8</v>
      </c>
      <c r="N76" s="181">
        <v>19.899999999999999</v>
      </c>
      <c r="O76" s="181">
        <v>24</v>
      </c>
      <c r="P76" s="181">
        <f t="shared" si="3"/>
        <v>43.9</v>
      </c>
      <c r="Q76" s="184" t="s">
        <v>110</v>
      </c>
      <c r="R76" s="184" t="s">
        <v>260</v>
      </c>
      <c r="S76" s="183"/>
      <c r="T76" s="184"/>
      <c r="U76" s="185" t="s">
        <v>25</v>
      </c>
      <c r="V76" s="184" t="s">
        <v>41</v>
      </c>
      <c r="W76" s="181">
        <v>48.2</v>
      </c>
      <c r="X76" s="181">
        <v>20.100000000000001</v>
      </c>
      <c r="Y76" s="181">
        <v>28.1</v>
      </c>
      <c r="Z76" s="181">
        <v>0.9</v>
      </c>
      <c r="AA76" s="184"/>
      <c r="AB76" s="184"/>
      <c r="AC76" s="184"/>
      <c r="AD76" s="211"/>
    </row>
    <row r="77" spans="2:31" ht="19" customHeight="1">
      <c r="B77" s="136"/>
      <c r="C77" s="140"/>
      <c r="D77" s="90" t="s">
        <v>261</v>
      </c>
      <c r="E77" s="189" t="s">
        <v>156</v>
      </c>
      <c r="F77" s="189"/>
      <c r="G77" s="189"/>
      <c r="H77" s="190">
        <v>2.556</v>
      </c>
      <c r="I77" s="191"/>
      <c r="J77" s="191"/>
      <c r="K77" s="191"/>
      <c r="L77" s="181">
        <v>14.3</v>
      </c>
      <c r="M77" s="181">
        <v>47.7</v>
      </c>
      <c r="N77" s="181">
        <v>16.7</v>
      </c>
      <c r="O77" s="181">
        <v>21.3</v>
      </c>
      <c r="P77" s="181">
        <f t="shared" si="3"/>
        <v>38</v>
      </c>
      <c r="Q77" s="184" t="s">
        <v>122</v>
      </c>
      <c r="R77" s="184" t="s">
        <v>260</v>
      </c>
      <c r="S77" s="183"/>
      <c r="T77" s="184"/>
      <c r="U77" s="185" t="s">
        <v>25</v>
      </c>
      <c r="V77" s="184" t="s">
        <v>41</v>
      </c>
      <c r="W77" s="181">
        <v>48.5</v>
      </c>
      <c r="X77" s="181">
        <v>22.1</v>
      </c>
      <c r="Y77" s="181">
        <v>26.4</v>
      </c>
      <c r="Z77" s="181"/>
      <c r="AA77" s="184"/>
      <c r="AB77" s="184"/>
      <c r="AC77" s="184"/>
      <c r="AD77" s="211"/>
    </row>
    <row r="78" spans="2:31" ht="19" customHeight="1" thickBot="1">
      <c r="B78" s="137"/>
      <c r="C78" s="141"/>
      <c r="D78" s="129" t="s">
        <v>262</v>
      </c>
      <c r="E78" s="212" t="s">
        <v>160</v>
      </c>
      <c r="F78" s="212"/>
      <c r="G78" s="212"/>
      <c r="H78" s="213">
        <v>2.62</v>
      </c>
      <c r="I78" s="214"/>
      <c r="J78" s="214"/>
      <c r="K78" s="214"/>
      <c r="L78" s="215">
        <v>0.4</v>
      </c>
      <c r="M78" s="215">
        <v>50</v>
      </c>
      <c r="N78" s="215">
        <v>25.7</v>
      </c>
      <c r="O78" s="215">
        <v>23.9</v>
      </c>
      <c r="P78" s="215">
        <f t="shared" si="3"/>
        <v>49.599999999999994</v>
      </c>
      <c r="Q78" s="216" t="s">
        <v>157</v>
      </c>
      <c r="R78" s="216" t="s">
        <v>263</v>
      </c>
      <c r="S78" s="217"/>
      <c r="T78" s="216"/>
      <c r="U78" s="218" t="s">
        <v>18</v>
      </c>
      <c r="V78" s="216" t="s">
        <v>264</v>
      </c>
      <c r="W78" s="215">
        <v>43.3</v>
      </c>
      <c r="X78" s="215">
        <v>24.2</v>
      </c>
      <c r="Y78" s="215">
        <v>19.100000000000001</v>
      </c>
      <c r="Z78" s="215"/>
      <c r="AA78" s="216"/>
      <c r="AB78" s="216"/>
      <c r="AC78" s="216"/>
      <c r="AD78" s="219"/>
      <c r="AE78" s="80"/>
    </row>
    <row r="79" spans="2:31" ht="19" customHeight="1">
      <c r="B79" s="99"/>
      <c r="C79" s="100"/>
      <c r="D79" s="99"/>
      <c r="E79" s="100"/>
      <c r="F79" s="100"/>
      <c r="G79" s="100"/>
      <c r="H79" s="101"/>
      <c r="I79" s="102"/>
      <c r="J79" s="102"/>
      <c r="K79" s="102"/>
      <c r="L79" s="103"/>
      <c r="M79" s="103"/>
      <c r="N79" s="103"/>
      <c r="O79" s="103"/>
      <c r="P79" s="103"/>
      <c r="Q79" s="99"/>
      <c r="R79" s="99"/>
      <c r="S79" s="99"/>
      <c r="T79" s="99"/>
      <c r="U79" s="104"/>
      <c r="V79" s="99"/>
      <c r="W79" s="103"/>
      <c r="X79" s="103"/>
      <c r="Y79" s="103"/>
      <c r="Z79" s="103"/>
      <c r="AA79" s="99"/>
      <c r="AB79" s="103"/>
      <c r="AC79" s="99"/>
      <c r="AD79" s="105"/>
      <c r="AE79" s="106"/>
    </row>
    <row r="80" spans="2:31" ht="19" customHeight="1">
      <c r="B80" s="99"/>
      <c r="C80" s="100"/>
      <c r="D80" s="99"/>
      <c r="E80" s="100"/>
      <c r="F80" s="100"/>
      <c r="G80" s="100"/>
      <c r="H80" s="101"/>
      <c r="I80" s="102"/>
      <c r="J80" s="102"/>
      <c r="K80" s="102"/>
      <c r="L80" s="103"/>
      <c r="M80" s="103"/>
      <c r="N80" s="103"/>
      <c r="O80" s="103"/>
      <c r="P80" s="103"/>
      <c r="Q80" s="99"/>
      <c r="R80" s="99"/>
      <c r="S80" s="99"/>
      <c r="T80" s="99"/>
      <c r="U80" s="104"/>
      <c r="V80" s="99"/>
      <c r="W80" s="103"/>
      <c r="X80" s="103"/>
      <c r="Y80" s="103"/>
      <c r="Z80" s="103"/>
      <c r="AA80" s="99"/>
      <c r="AB80" s="99"/>
      <c r="AC80" s="99"/>
      <c r="AD80" s="99"/>
      <c r="AE80" s="106"/>
    </row>
    <row r="81" spans="2:31" ht="19" customHeight="1">
      <c r="B81" s="99"/>
      <c r="C81" s="100"/>
      <c r="D81" s="99"/>
      <c r="E81" s="100"/>
      <c r="F81" s="100"/>
      <c r="G81" s="100"/>
      <c r="H81" s="101"/>
      <c r="I81" s="102"/>
      <c r="J81" s="102"/>
      <c r="K81" s="102"/>
      <c r="L81" s="103"/>
      <c r="M81" s="103"/>
      <c r="N81" s="103"/>
      <c r="O81" s="103"/>
      <c r="P81" s="103"/>
      <c r="Q81" s="99"/>
      <c r="R81" s="99"/>
      <c r="S81" s="99"/>
      <c r="T81" s="99"/>
      <c r="U81" s="104"/>
      <c r="V81" s="99"/>
      <c r="W81" s="103"/>
      <c r="X81" s="103"/>
      <c r="Y81" s="103"/>
      <c r="Z81" s="103"/>
      <c r="AA81" s="99"/>
      <c r="AB81" s="99"/>
      <c r="AC81" s="99"/>
      <c r="AD81" s="99"/>
      <c r="AE81" s="106"/>
    </row>
    <row r="82" spans="2:31" ht="19" customHeight="1">
      <c r="B82" s="99"/>
      <c r="C82" s="100"/>
      <c r="D82" s="99"/>
      <c r="E82" s="100"/>
      <c r="F82" s="101"/>
      <c r="G82" s="100"/>
      <c r="H82" s="101"/>
      <c r="I82" s="100"/>
      <c r="J82" s="101"/>
      <c r="K82" s="102"/>
      <c r="L82" s="103"/>
      <c r="M82" s="103"/>
      <c r="N82" s="103"/>
      <c r="O82" s="103"/>
      <c r="P82" s="103"/>
      <c r="Q82" s="99"/>
      <c r="R82" s="99"/>
      <c r="S82" s="99"/>
      <c r="T82" s="99"/>
      <c r="U82" s="104"/>
      <c r="V82" s="99"/>
      <c r="W82" s="99"/>
      <c r="X82" s="99"/>
      <c r="Y82" s="103"/>
      <c r="Z82" s="99"/>
      <c r="AA82" s="99"/>
      <c r="AB82" s="103"/>
      <c r="AC82" s="99"/>
      <c r="AD82" s="99"/>
      <c r="AE82" s="106"/>
    </row>
    <row r="83" spans="2:31" ht="19" customHeight="1">
      <c r="B83" s="99"/>
      <c r="C83" s="100"/>
      <c r="D83" s="99"/>
      <c r="E83" s="100"/>
      <c r="F83" s="100"/>
      <c r="G83" s="101"/>
      <c r="H83" s="101"/>
      <c r="I83" s="100"/>
      <c r="J83" s="100"/>
      <c r="K83" s="102"/>
      <c r="L83" s="103"/>
      <c r="M83" s="103"/>
      <c r="N83" s="103"/>
      <c r="O83" s="103"/>
      <c r="P83" s="103"/>
      <c r="Q83" s="99"/>
      <c r="R83" s="99"/>
      <c r="S83" s="99"/>
      <c r="T83" s="99"/>
      <c r="U83" s="104"/>
      <c r="V83" s="99"/>
      <c r="W83" s="99"/>
      <c r="X83" s="99"/>
      <c r="Y83" s="103"/>
      <c r="Z83" s="99"/>
      <c r="AA83" s="99"/>
      <c r="AB83" s="103"/>
      <c r="AC83" s="99"/>
      <c r="AD83" s="99"/>
      <c r="AE83" s="106"/>
    </row>
    <row r="84" spans="2:31" ht="19" customHeight="1">
      <c r="B84" s="99"/>
      <c r="C84" s="100"/>
      <c r="D84" s="99"/>
      <c r="E84" s="100"/>
      <c r="F84" s="100"/>
      <c r="G84" s="101"/>
      <c r="H84" s="101"/>
      <c r="I84" s="100"/>
      <c r="J84" s="101"/>
      <c r="K84" s="102"/>
      <c r="L84" s="103"/>
      <c r="M84" s="103"/>
      <c r="N84" s="103"/>
      <c r="O84" s="103"/>
      <c r="P84" s="103"/>
      <c r="Q84" s="107"/>
      <c r="R84" s="108"/>
      <c r="S84" s="99"/>
      <c r="T84" s="99"/>
      <c r="U84" s="104"/>
      <c r="V84" s="99"/>
      <c r="W84" s="99"/>
      <c r="X84" s="99"/>
      <c r="Y84" s="99"/>
      <c r="Z84" s="99"/>
      <c r="AA84" s="99"/>
      <c r="AB84" s="103"/>
      <c r="AC84" s="99"/>
      <c r="AD84" s="99"/>
      <c r="AE84" s="106"/>
    </row>
    <row r="85" spans="2:31" ht="19" customHeight="1">
      <c r="B85" s="99"/>
      <c r="C85" s="100"/>
      <c r="D85" s="99"/>
      <c r="E85" s="100"/>
      <c r="F85" s="101"/>
      <c r="G85" s="100"/>
      <c r="H85" s="101"/>
      <c r="I85" s="100"/>
      <c r="J85" s="100"/>
      <c r="K85" s="100"/>
      <c r="L85" s="103"/>
      <c r="M85" s="103"/>
      <c r="N85" s="103"/>
      <c r="O85" s="103"/>
      <c r="P85" s="103"/>
      <c r="Q85" s="105"/>
      <c r="R85" s="99"/>
      <c r="S85" s="99"/>
      <c r="T85" s="99"/>
      <c r="U85" s="104"/>
      <c r="V85" s="99"/>
      <c r="W85" s="99"/>
      <c r="X85" s="99"/>
      <c r="Y85" s="99"/>
      <c r="Z85" s="99"/>
      <c r="AA85" s="99"/>
      <c r="AB85" s="103"/>
      <c r="AC85" s="99"/>
      <c r="AD85" s="99"/>
      <c r="AE85" s="106"/>
    </row>
    <row r="86" spans="2:31" ht="19" customHeight="1">
      <c r="B86" s="99"/>
      <c r="C86" s="100"/>
      <c r="D86" s="99"/>
      <c r="E86" s="100"/>
      <c r="F86" s="100"/>
      <c r="G86" s="100"/>
      <c r="H86" s="101"/>
      <c r="I86" s="100"/>
      <c r="J86" s="100"/>
      <c r="K86" s="100"/>
      <c r="L86" s="103"/>
      <c r="M86" s="103"/>
      <c r="N86" s="103"/>
      <c r="O86" s="103"/>
      <c r="P86" s="103"/>
      <c r="Q86" s="99"/>
      <c r="R86" s="99"/>
      <c r="S86" s="99"/>
      <c r="T86" s="99"/>
      <c r="U86" s="104"/>
      <c r="V86" s="99"/>
      <c r="W86" s="99"/>
      <c r="X86" s="103"/>
      <c r="Y86" s="99"/>
      <c r="Z86" s="99"/>
      <c r="AA86" s="99"/>
      <c r="AB86" s="103"/>
      <c r="AC86" s="99"/>
      <c r="AD86" s="99"/>
      <c r="AE86" s="106"/>
    </row>
    <row r="87" spans="2:31" ht="21" customHeight="1">
      <c r="B87" s="99"/>
      <c r="C87" s="100"/>
      <c r="D87" s="99"/>
      <c r="E87" s="100"/>
      <c r="F87" s="100"/>
      <c r="G87" s="100"/>
      <c r="H87" s="101"/>
      <c r="I87" s="100"/>
      <c r="J87" s="100"/>
      <c r="K87" s="100"/>
      <c r="L87" s="103"/>
      <c r="M87" s="103"/>
      <c r="N87" s="103"/>
      <c r="O87" s="103"/>
      <c r="P87" s="103"/>
      <c r="Q87" s="99"/>
      <c r="R87" s="99"/>
      <c r="S87" s="99"/>
      <c r="T87" s="99"/>
      <c r="U87" s="104"/>
      <c r="V87" s="99"/>
      <c r="W87" s="99"/>
      <c r="X87" s="99"/>
      <c r="Y87" s="99"/>
      <c r="Z87" s="99"/>
      <c r="AA87" s="99"/>
      <c r="AB87" s="103"/>
      <c r="AC87" s="99"/>
      <c r="AD87" s="105"/>
      <c r="AE87" s="106"/>
    </row>
    <row r="88" spans="2:31" ht="21" customHeight="1">
      <c r="B88" s="99"/>
      <c r="C88" s="100"/>
      <c r="D88" s="99"/>
      <c r="E88" s="100"/>
      <c r="F88" s="100"/>
      <c r="G88" s="100"/>
      <c r="H88" s="101"/>
      <c r="I88" s="100"/>
      <c r="J88" s="100"/>
      <c r="K88" s="100"/>
      <c r="L88" s="103"/>
      <c r="M88" s="103"/>
      <c r="N88" s="103"/>
      <c r="O88" s="103"/>
      <c r="P88" s="103"/>
      <c r="Q88" s="99"/>
      <c r="R88" s="99"/>
      <c r="S88" s="99"/>
      <c r="T88" s="99"/>
      <c r="U88" s="104"/>
      <c r="V88" s="99"/>
      <c r="W88" s="99"/>
      <c r="X88" s="99"/>
      <c r="Y88" s="99"/>
      <c r="Z88" s="99"/>
      <c r="AA88" s="99"/>
      <c r="AB88" s="103"/>
      <c r="AC88" s="99"/>
      <c r="AD88" s="105"/>
      <c r="AE88" s="106"/>
    </row>
    <row r="89" spans="2:31" ht="21" customHeight="1">
      <c r="B89" s="109"/>
      <c r="C89" s="110"/>
      <c r="D89" s="110"/>
      <c r="E89" s="110"/>
      <c r="F89" s="111"/>
      <c r="G89" s="111"/>
      <c r="H89" s="111"/>
      <c r="I89" s="111"/>
      <c r="J89" s="111"/>
      <c r="K89" s="111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  <c r="AA89" s="113"/>
      <c r="AB89" s="113"/>
      <c r="AC89" s="111"/>
      <c r="AD89" s="111"/>
      <c r="AE89" s="106"/>
    </row>
    <row r="90" spans="2:31" ht="36" customHeight="1">
      <c r="B90" s="109"/>
      <c r="C90" s="110"/>
      <c r="D90" s="110"/>
      <c r="E90" s="110"/>
      <c r="F90" s="111"/>
      <c r="G90" s="111"/>
      <c r="H90" s="111"/>
      <c r="I90" s="111"/>
      <c r="J90" s="114"/>
      <c r="K90" s="114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5"/>
      <c r="AE90" s="106"/>
    </row>
    <row r="91" spans="2:31" ht="21" customHeight="1">
      <c r="B91" s="109"/>
      <c r="C91" s="110"/>
      <c r="D91" s="99"/>
      <c r="E91" s="100"/>
      <c r="F91" s="100"/>
      <c r="G91" s="100"/>
      <c r="H91" s="100"/>
      <c r="I91" s="100"/>
      <c r="J91" s="100"/>
      <c r="K91" s="100"/>
      <c r="L91" s="103"/>
      <c r="M91" s="103"/>
      <c r="N91" s="109"/>
      <c r="O91" s="109"/>
      <c r="P91" s="103"/>
      <c r="Q91" s="99"/>
      <c r="R91" s="99"/>
      <c r="S91" s="99"/>
      <c r="T91" s="99"/>
      <c r="U91" s="104"/>
      <c r="V91" s="99"/>
      <c r="W91" s="99"/>
      <c r="X91" s="99"/>
      <c r="Y91" s="99"/>
      <c r="Z91" s="99"/>
      <c r="AA91" s="99"/>
      <c r="AB91" s="103"/>
      <c r="AC91" s="99"/>
      <c r="AD91" s="99"/>
      <c r="AE91" s="106"/>
    </row>
    <row r="92" spans="2:31" ht="21" customHeight="1">
      <c r="B92" s="109"/>
      <c r="C92" s="110"/>
      <c r="D92" s="99"/>
      <c r="E92" s="100"/>
      <c r="F92" s="100"/>
      <c r="G92" s="100"/>
      <c r="H92" s="100"/>
      <c r="I92" s="100"/>
      <c r="J92" s="100"/>
      <c r="K92" s="101"/>
      <c r="L92" s="103"/>
      <c r="M92" s="103"/>
      <c r="N92" s="116"/>
      <c r="O92" s="116"/>
      <c r="P92" s="103"/>
      <c r="Q92" s="103"/>
      <c r="R92" s="103"/>
      <c r="S92" s="99"/>
      <c r="T92" s="99"/>
      <c r="U92" s="104"/>
      <c r="V92" s="99"/>
      <c r="W92" s="99"/>
      <c r="X92" s="99"/>
      <c r="Y92" s="99"/>
      <c r="Z92" s="99"/>
      <c r="AA92" s="99"/>
      <c r="AB92" s="103"/>
      <c r="AC92" s="99"/>
      <c r="AD92" s="99"/>
      <c r="AE92" s="106"/>
    </row>
    <row r="93" spans="2:31" ht="21" customHeight="1">
      <c r="B93" s="109"/>
      <c r="C93" s="110"/>
      <c r="D93" s="99"/>
      <c r="E93" s="100"/>
      <c r="F93" s="100"/>
      <c r="G93" s="100"/>
      <c r="H93" s="100"/>
      <c r="I93" s="100"/>
      <c r="J93" s="100"/>
      <c r="K93" s="101"/>
      <c r="L93" s="103"/>
      <c r="M93" s="103"/>
      <c r="N93" s="116"/>
      <c r="O93" s="116"/>
      <c r="P93" s="103"/>
      <c r="Q93" s="103"/>
      <c r="R93" s="103"/>
      <c r="S93" s="99"/>
      <c r="T93" s="99"/>
      <c r="U93" s="104"/>
      <c r="V93" s="99"/>
      <c r="W93" s="99"/>
      <c r="X93" s="99"/>
      <c r="Y93" s="99"/>
      <c r="Z93" s="99"/>
      <c r="AA93" s="99"/>
      <c r="AB93" s="103"/>
      <c r="AC93" s="99"/>
      <c r="AD93" s="99"/>
      <c r="AE93" s="106"/>
    </row>
    <row r="94" spans="2:31" ht="21" customHeight="1">
      <c r="B94" s="109"/>
      <c r="C94" s="110"/>
      <c r="D94" s="99"/>
      <c r="E94" s="100"/>
      <c r="F94" s="100"/>
      <c r="G94" s="100"/>
      <c r="H94" s="100"/>
      <c r="I94" s="100"/>
      <c r="J94" s="100"/>
      <c r="K94" s="101"/>
      <c r="L94" s="103"/>
      <c r="M94" s="103"/>
      <c r="N94" s="116"/>
      <c r="O94" s="116"/>
      <c r="P94" s="103"/>
      <c r="Q94" s="103"/>
      <c r="R94" s="103"/>
      <c r="S94" s="99"/>
      <c r="T94" s="99"/>
      <c r="U94" s="104"/>
      <c r="V94" s="99"/>
      <c r="W94" s="99"/>
      <c r="X94" s="99"/>
      <c r="Y94" s="99"/>
      <c r="Z94" s="99"/>
      <c r="AA94" s="99"/>
      <c r="AB94" s="103"/>
      <c r="AC94" s="99"/>
      <c r="AD94" s="99"/>
      <c r="AE94" s="106"/>
    </row>
    <row r="95" spans="2:31" ht="21" customHeight="1">
      <c r="B95" s="109"/>
      <c r="C95" s="110"/>
      <c r="D95" s="99"/>
      <c r="E95" s="100"/>
      <c r="F95" s="100"/>
      <c r="G95" s="100"/>
      <c r="H95" s="100"/>
      <c r="I95" s="100"/>
      <c r="J95" s="100"/>
      <c r="K95" s="101"/>
      <c r="L95" s="103"/>
      <c r="M95" s="103"/>
      <c r="N95" s="116"/>
      <c r="O95" s="116"/>
      <c r="P95" s="103"/>
      <c r="Q95" s="117"/>
      <c r="R95" s="103"/>
      <c r="S95" s="99"/>
      <c r="T95" s="99"/>
      <c r="U95" s="104"/>
      <c r="V95" s="99"/>
      <c r="W95" s="99"/>
      <c r="X95" s="99"/>
      <c r="Y95" s="99"/>
      <c r="Z95" s="99"/>
      <c r="AA95" s="99"/>
      <c r="AB95" s="103"/>
      <c r="AC95" s="99"/>
      <c r="AD95" s="99"/>
      <c r="AE95" s="106"/>
    </row>
    <row r="96" spans="2:31" ht="21" customHeight="1">
      <c r="B96" s="109"/>
      <c r="C96" s="110"/>
      <c r="D96" s="99"/>
      <c r="E96" s="100"/>
      <c r="F96" s="100"/>
      <c r="G96" s="100"/>
      <c r="H96" s="100"/>
      <c r="I96" s="100"/>
      <c r="J96" s="100"/>
      <c r="K96" s="100"/>
      <c r="L96" s="103"/>
      <c r="M96" s="103"/>
      <c r="N96" s="116"/>
      <c r="O96" s="116"/>
      <c r="P96" s="103"/>
      <c r="Q96" s="99"/>
      <c r="R96" s="105"/>
      <c r="S96" s="99"/>
      <c r="T96" s="99"/>
      <c r="U96" s="104"/>
      <c r="V96" s="99"/>
      <c r="W96" s="99"/>
      <c r="X96" s="99"/>
      <c r="Y96" s="99"/>
      <c r="Z96" s="99"/>
      <c r="AA96" s="99"/>
      <c r="AB96" s="103"/>
      <c r="AC96" s="99"/>
      <c r="AD96" s="99"/>
      <c r="AE96" s="106"/>
    </row>
    <row r="97" spans="2:31" ht="21" customHeight="1">
      <c r="B97" s="109"/>
      <c r="C97" s="110"/>
      <c r="D97" s="99"/>
      <c r="E97" s="100"/>
      <c r="F97" s="100"/>
      <c r="G97" s="100"/>
      <c r="H97" s="100"/>
      <c r="I97" s="100"/>
      <c r="J97" s="100"/>
      <c r="K97" s="100"/>
      <c r="L97" s="103"/>
      <c r="M97" s="103"/>
      <c r="N97" s="116"/>
      <c r="O97" s="116"/>
      <c r="P97" s="103"/>
      <c r="Q97" s="103"/>
      <c r="R97" s="105"/>
      <c r="S97" s="99"/>
      <c r="T97" s="99"/>
      <c r="U97" s="104"/>
      <c r="V97" s="99"/>
      <c r="W97" s="99"/>
      <c r="X97" s="99"/>
      <c r="Y97" s="99"/>
      <c r="Z97" s="99"/>
      <c r="AA97" s="99"/>
      <c r="AB97" s="103"/>
      <c r="AC97" s="99"/>
      <c r="AD97" s="99"/>
      <c r="AE97" s="106"/>
    </row>
    <row r="98" spans="2:31" ht="21" customHeight="1">
      <c r="B98" s="109"/>
      <c r="C98" s="110"/>
      <c r="D98" s="99"/>
      <c r="E98" s="100"/>
      <c r="F98" s="100"/>
      <c r="G98" s="100"/>
      <c r="H98" s="100"/>
      <c r="I98" s="100"/>
      <c r="J98" s="100"/>
      <c r="K98" s="100"/>
      <c r="L98" s="103"/>
      <c r="M98" s="103"/>
      <c r="N98" s="116"/>
      <c r="O98" s="116"/>
      <c r="P98" s="103"/>
      <c r="Q98" s="99"/>
      <c r="R98" s="99"/>
      <c r="S98" s="99"/>
      <c r="T98" s="99"/>
      <c r="U98" s="104"/>
      <c r="V98" s="99"/>
      <c r="W98" s="99"/>
      <c r="X98" s="99"/>
      <c r="Y98" s="99"/>
      <c r="Z98" s="99"/>
      <c r="AA98" s="99"/>
      <c r="AB98" s="103"/>
      <c r="AC98" s="99"/>
      <c r="AD98" s="99"/>
      <c r="AE98" s="106"/>
    </row>
    <row r="99" spans="2:31" ht="21" customHeight="1">
      <c r="B99" s="109"/>
      <c r="C99" s="110"/>
      <c r="D99" s="99"/>
      <c r="E99" s="100"/>
      <c r="F99" s="100"/>
      <c r="G99" s="100"/>
      <c r="H99" s="100"/>
      <c r="I99" s="100"/>
      <c r="J99" s="100"/>
      <c r="K99" s="100"/>
      <c r="L99" s="103"/>
      <c r="M99" s="103"/>
      <c r="N99" s="116"/>
      <c r="O99" s="116"/>
      <c r="P99" s="103"/>
      <c r="Q99" s="99"/>
      <c r="R99" s="105"/>
      <c r="S99" s="99"/>
      <c r="T99" s="99"/>
      <c r="U99" s="104"/>
      <c r="V99" s="99"/>
      <c r="W99" s="99"/>
      <c r="X99" s="99"/>
      <c r="Y99" s="99"/>
      <c r="Z99" s="99"/>
      <c r="AA99" s="99"/>
      <c r="AB99" s="103"/>
      <c r="AC99" s="99"/>
      <c r="AD99" s="99"/>
      <c r="AE99" s="106"/>
    </row>
    <row r="100" spans="2:31" ht="21" customHeight="1">
      <c r="B100" s="109"/>
      <c r="C100" s="110"/>
      <c r="D100" s="99"/>
      <c r="E100" s="100"/>
      <c r="F100" s="100"/>
      <c r="G100" s="100"/>
      <c r="H100" s="100"/>
      <c r="I100" s="100"/>
      <c r="J100" s="100"/>
      <c r="K100" s="100"/>
      <c r="L100" s="103"/>
      <c r="M100" s="103"/>
      <c r="N100" s="116"/>
      <c r="O100" s="116"/>
      <c r="P100" s="103"/>
      <c r="Q100" s="103"/>
      <c r="R100" s="105"/>
      <c r="S100" s="99"/>
      <c r="T100" s="99"/>
      <c r="U100" s="104"/>
      <c r="V100" s="99"/>
      <c r="W100" s="99"/>
      <c r="X100" s="99"/>
      <c r="Y100" s="99"/>
      <c r="Z100" s="99"/>
      <c r="AA100" s="99"/>
      <c r="AB100" s="103"/>
      <c r="AC100" s="99"/>
      <c r="AD100" s="99"/>
      <c r="AE100" s="106"/>
    </row>
    <row r="101" spans="2:31" ht="21" customHeight="1">
      <c r="B101" s="109"/>
      <c r="C101" s="110"/>
      <c r="D101" s="99"/>
      <c r="E101" s="100"/>
      <c r="F101" s="100"/>
      <c r="G101" s="100"/>
      <c r="H101" s="100"/>
      <c r="I101" s="100"/>
      <c r="J101" s="100"/>
      <c r="K101" s="100"/>
      <c r="L101" s="103"/>
      <c r="M101" s="103"/>
      <c r="N101" s="116"/>
      <c r="O101" s="116"/>
      <c r="P101" s="103"/>
      <c r="Q101" s="99"/>
      <c r="R101" s="99"/>
      <c r="S101" s="99"/>
      <c r="T101" s="99"/>
      <c r="U101" s="104"/>
      <c r="V101" s="99"/>
      <c r="W101" s="99"/>
      <c r="X101" s="99"/>
      <c r="Y101" s="99"/>
      <c r="Z101" s="99"/>
      <c r="AA101" s="99"/>
      <c r="AB101" s="103"/>
      <c r="AC101" s="99"/>
      <c r="AD101" s="99"/>
      <c r="AE101" s="106"/>
    </row>
    <row r="102" spans="2:31" ht="21" customHeight="1">
      <c r="B102" s="109"/>
      <c r="C102" s="110"/>
      <c r="D102" s="99"/>
      <c r="E102" s="100"/>
      <c r="F102" s="100"/>
      <c r="G102" s="100"/>
      <c r="H102" s="100"/>
      <c r="I102" s="100"/>
      <c r="J102" s="100"/>
      <c r="K102" s="100"/>
      <c r="L102" s="103"/>
      <c r="M102" s="103"/>
      <c r="N102" s="116"/>
      <c r="O102" s="116"/>
      <c r="P102" s="103"/>
      <c r="Q102" s="103"/>
      <c r="R102" s="103"/>
      <c r="S102" s="99"/>
      <c r="T102" s="99"/>
      <c r="U102" s="104"/>
      <c r="V102" s="99"/>
      <c r="W102" s="99"/>
      <c r="X102" s="99"/>
      <c r="Y102" s="99"/>
      <c r="Z102" s="99"/>
      <c r="AA102" s="99"/>
      <c r="AB102" s="103"/>
      <c r="AC102" s="99"/>
      <c r="AD102" s="99"/>
      <c r="AE102" s="106"/>
    </row>
    <row r="103" spans="2:31" ht="21" customHeight="1">
      <c r="B103" s="109"/>
      <c r="C103" s="110"/>
      <c r="D103" s="99"/>
      <c r="E103" s="100"/>
      <c r="F103" s="100"/>
      <c r="G103" s="100"/>
      <c r="H103" s="100"/>
      <c r="I103" s="100"/>
      <c r="J103" s="100"/>
      <c r="K103" s="100"/>
      <c r="L103" s="103"/>
      <c r="M103" s="103"/>
      <c r="N103" s="116"/>
      <c r="O103" s="116"/>
      <c r="P103" s="103"/>
      <c r="Q103" s="103"/>
      <c r="R103" s="99"/>
      <c r="S103" s="99"/>
      <c r="T103" s="99"/>
      <c r="U103" s="104"/>
      <c r="V103" s="99"/>
      <c r="W103" s="99"/>
      <c r="X103" s="99"/>
      <c r="Y103" s="99"/>
      <c r="Z103" s="99"/>
      <c r="AA103" s="99"/>
      <c r="AB103" s="103"/>
      <c r="AC103" s="99"/>
      <c r="AD103" s="99"/>
      <c r="AE103" s="106"/>
    </row>
    <row r="104" spans="2:31" ht="21" customHeight="1">
      <c r="B104" s="109"/>
      <c r="C104" s="110"/>
      <c r="D104" s="99"/>
      <c r="E104" s="100"/>
      <c r="F104" s="100"/>
      <c r="G104" s="100"/>
      <c r="H104" s="100"/>
      <c r="I104" s="100"/>
      <c r="J104" s="100"/>
      <c r="K104" s="100"/>
      <c r="L104" s="103"/>
      <c r="M104" s="103"/>
      <c r="N104" s="116"/>
      <c r="O104" s="116"/>
      <c r="P104" s="103"/>
      <c r="Q104" s="103"/>
      <c r="R104" s="99"/>
      <c r="S104" s="99"/>
      <c r="T104" s="99"/>
      <c r="U104" s="104"/>
      <c r="V104" s="99"/>
      <c r="W104" s="99"/>
      <c r="X104" s="99"/>
      <c r="Y104" s="99"/>
      <c r="Z104" s="99"/>
      <c r="AA104" s="99"/>
      <c r="AB104" s="103"/>
      <c r="AC104" s="99"/>
      <c r="AD104" s="99"/>
      <c r="AE104" s="106"/>
    </row>
    <row r="105" spans="2:31" ht="21" customHeight="1">
      <c r="B105" s="109"/>
      <c r="C105" s="110"/>
      <c r="D105" s="99"/>
      <c r="E105" s="100"/>
      <c r="F105" s="100"/>
      <c r="G105" s="100"/>
      <c r="H105" s="101"/>
      <c r="I105" s="100"/>
      <c r="J105" s="100"/>
      <c r="K105" s="100"/>
      <c r="L105" s="103"/>
      <c r="M105" s="103"/>
      <c r="N105" s="116"/>
      <c r="O105" s="116"/>
      <c r="P105" s="103"/>
      <c r="Q105" s="99"/>
      <c r="R105" s="99"/>
      <c r="S105" s="99"/>
      <c r="T105" s="99"/>
      <c r="U105" s="104"/>
      <c r="V105" s="99"/>
      <c r="W105" s="99"/>
      <c r="X105" s="99"/>
      <c r="Y105" s="99"/>
      <c r="Z105" s="99"/>
      <c r="AA105" s="99"/>
      <c r="AB105" s="103"/>
      <c r="AC105" s="99"/>
      <c r="AD105" s="99"/>
      <c r="AE105" s="106"/>
    </row>
    <row r="106" spans="2:31" ht="21" customHeight="1">
      <c r="B106" s="109"/>
      <c r="C106" s="110"/>
      <c r="D106" s="99"/>
      <c r="E106" s="100"/>
      <c r="F106" s="100"/>
      <c r="G106" s="100"/>
      <c r="H106" s="101"/>
      <c r="I106" s="100"/>
      <c r="J106" s="100"/>
      <c r="K106" s="100"/>
      <c r="L106" s="103"/>
      <c r="M106" s="103"/>
      <c r="N106" s="116"/>
      <c r="O106" s="116"/>
      <c r="P106" s="103"/>
      <c r="Q106" s="99"/>
      <c r="R106" s="99"/>
      <c r="S106" s="99"/>
      <c r="T106" s="99"/>
      <c r="U106" s="104"/>
      <c r="V106" s="99"/>
      <c r="W106" s="99"/>
      <c r="X106" s="99"/>
      <c r="Y106" s="99"/>
      <c r="Z106" s="99"/>
      <c r="AA106" s="99"/>
      <c r="AB106" s="103"/>
      <c r="AC106" s="99"/>
      <c r="AD106" s="99"/>
      <c r="AE106" s="106"/>
    </row>
    <row r="107" spans="2:31" ht="21" customHeight="1">
      <c r="B107" s="109"/>
      <c r="C107" s="110"/>
      <c r="D107" s="99"/>
      <c r="E107" s="100"/>
      <c r="F107" s="100"/>
      <c r="G107" s="100"/>
      <c r="H107" s="101"/>
      <c r="I107" s="100"/>
      <c r="J107" s="100"/>
      <c r="K107" s="100"/>
      <c r="L107" s="103"/>
      <c r="M107" s="103"/>
      <c r="N107" s="116"/>
      <c r="O107" s="116"/>
      <c r="P107" s="103"/>
      <c r="Q107" s="99"/>
      <c r="R107" s="99"/>
      <c r="S107" s="99"/>
      <c r="T107" s="99"/>
      <c r="U107" s="104"/>
      <c r="V107" s="99"/>
      <c r="W107" s="99"/>
      <c r="X107" s="99"/>
      <c r="Y107" s="99"/>
      <c r="Z107" s="99"/>
      <c r="AA107" s="99"/>
      <c r="AB107" s="99"/>
      <c r="AC107" s="99"/>
      <c r="AD107" s="99"/>
      <c r="AE107" s="106"/>
    </row>
    <row r="108" spans="2:31" ht="21" customHeight="1">
      <c r="B108" s="109"/>
      <c r="C108" s="110"/>
      <c r="D108" s="99"/>
      <c r="E108" s="100"/>
      <c r="F108" s="100"/>
      <c r="G108" s="100"/>
      <c r="H108" s="101"/>
      <c r="I108" s="102"/>
      <c r="J108" s="100"/>
      <c r="K108" s="100"/>
      <c r="L108" s="103"/>
      <c r="M108" s="103"/>
      <c r="N108" s="103"/>
      <c r="O108" s="103"/>
      <c r="P108" s="103"/>
      <c r="Q108" s="99"/>
      <c r="R108" s="99"/>
      <c r="S108" s="99"/>
      <c r="T108" s="99"/>
      <c r="U108" s="104"/>
      <c r="V108" s="99"/>
      <c r="W108" s="99"/>
      <c r="X108" s="103"/>
      <c r="Y108" s="103"/>
      <c r="Z108" s="99"/>
      <c r="AA108" s="99"/>
      <c r="AB108" s="99"/>
      <c r="AC108" s="99"/>
      <c r="AD108" s="99"/>
      <c r="AE108" s="106"/>
    </row>
    <row r="109" spans="2:31" ht="21" customHeight="1">
      <c r="B109" s="109"/>
      <c r="C109" s="110"/>
      <c r="D109" s="99"/>
      <c r="E109" s="100"/>
      <c r="F109" s="100"/>
      <c r="G109" s="100"/>
      <c r="H109" s="101"/>
      <c r="I109" s="100"/>
      <c r="J109" s="100"/>
      <c r="K109" s="100"/>
      <c r="L109" s="103"/>
      <c r="M109" s="103"/>
      <c r="N109" s="103"/>
      <c r="O109" s="103"/>
      <c r="P109" s="103"/>
      <c r="Q109" s="99"/>
      <c r="R109" s="108"/>
      <c r="S109" s="99"/>
      <c r="T109" s="99"/>
      <c r="U109" s="104"/>
      <c r="V109" s="99"/>
      <c r="W109" s="99"/>
      <c r="X109" s="99"/>
      <c r="Y109" s="99"/>
      <c r="Z109" s="99"/>
      <c r="AA109" s="99"/>
      <c r="AB109" s="103"/>
      <c r="AC109" s="99"/>
      <c r="AD109" s="105"/>
      <c r="AE109" s="106"/>
    </row>
    <row r="110" spans="2:31" ht="21" customHeight="1">
      <c r="B110" s="109"/>
      <c r="C110" s="100"/>
      <c r="D110" s="99"/>
      <c r="E110" s="100"/>
      <c r="F110" s="100"/>
      <c r="G110" s="100"/>
      <c r="H110" s="101"/>
      <c r="I110" s="100"/>
      <c r="J110" s="100"/>
      <c r="K110" s="100"/>
      <c r="L110" s="103"/>
      <c r="M110" s="103"/>
      <c r="N110" s="103"/>
      <c r="O110" s="103"/>
      <c r="P110" s="103"/>
      <c r="Q110" s="99"/>
      <c r="R110" s="99"/>
      <c r="S110" s="99"/>
      <c r="T110" s="99"/>
      <c r="U110" s="104"/>
      <c r="V110" s="99"/>
      <c r="W110" s="99"/>
      <c r="X110" s="99"/>
      <c r="Y110" s="103"/>
      <c r="Z110" s="99"/>
      <c r="AA110" s="99"/>
      <c r="AB110" s="103"/>
      <c r="AC110" s="99"/>
      <c r="AD110" s="105"/>
      <c r="AE110" s="106"/>
    </row>
    <row r="111" spans="2:31" ht="21" customHeight="1">
      <c r="B111" s="109"/>
      <c r="C111" s="100"/>
      <c r="D111" s="99"/>
      <c r="E111" s="100"/>
      <c r="F111" s="100"/>
      <c r="G111" s="100"/>
      <c r="H111" s="101"/>
      <c r="I111" s="100"/>
      <c r="J111" s="100"/>
      <c r="K111" s="100"/>
      <c r="L111" s="103"/>
      <c r="M111" s="103"/>
      <c r="N111" s="103"/>
      <c r="O111" s="103"/>
      <c r="P111" s="103"/>
      <c r="Q111" s="99"/>
      <c r="R111" s="99"/>
      <c r="S111" s="99"/>
      <c r="T111" s="99"/>
      <c r="U111" s="104"/>
      <c r="V111" s="99"/>
      <c r="W111" s="99"/>
      <c r="X111" s="99"/>
      <c r="Y111" s="103"/>
      <c r="Z111" s="99"/>
      <c r="AA111" s="99"/>
      <c r="AB111" s="99"/>
      <c r="AC111" s="99"/>
      <c r="AD111" s="99"/>
      <c r="AE111" s="106"/>
    </row>
    <row r="112" spans="2:31" ht="21" customHeight="1">
      <c r="B112" s="109"/>
      <c r="C112" s="100"/>
      <c r="D112" s="99"/>
      <c r="E112" s="100"/>
      <c r="F112" s="101"/>
      <c r="G112" s="100"/>
      <c r="H112" s="101"/>
      <c r="I112" s="100"/>
      <c r="J112" s="101"/>
      <c r="K112" s="102"/>
      <c r="L112" s="103"/>
      <c r="M112" s="103"/>
      <c r="N112" s="103"/>
      <c r="O112" s="103"/>
      <c r="P112" s="103"/>
      <c r="Q112" s="107"/>
      <c r="R112" s="99"/>
      <c r="S112" s="99"/>
      <c r="T112" s="99"/>
      <c r="U112" s="104"/>
      <c r="V112" s="99"/>
      <c r="W112" s="99"/>
      <c r="X112" s="99"/>
      <c r="Y112" s="103"/>
      <c r="Z112" s="99"/>
      <c r="AA112" s="99"/>
      <c r="AB112" s="103"/>
      <c r="AC112" s="99"/>
      <c r="AD112" s="99"/>
      <c r="AE112" s="106"/>
    </row>
    <row r="113" spans="2:31" ht="21" customHeight="1">
      <c r="B113" s="109"/>
      <c r="C113" s="100"/>
      <c r="D113" s="99"/>
      <c r="E113" s="100"/>
      <c r="F113" s="100"/>
      <c r="G113" s="101"/>
      <c r="H113" s="101"/>
      <c r="I113" s="100"/>
      <c r="J113" s="100"/>
      <c r="K113" s="102"/>
      <c r="L113" s="103"/>
      <c r="M113" s="103"/>
      <c r="N113" s="103"/>
      <c r="O113" s="103"/>
      <c r="P113" s="103"/>
      <c r="Q113" s="99"/>
      <c r="R113" s="99"/>
      <c r="S113" s="99"/>
      <c r="T113" s="99"/>
      <c r="U113" s="104"/>
      <c r="V113" s="99"/>
      <c r="W113" s="99"/>
      <c r="X113" s="99"/>
      <c r="Y113" s="103"/>
      <c r="Z113" s="99"/>
      <c r="AA113" s="99"/>
      <c r="AB113" s="103"/>
      <c r="AC113" s="99"/>
      <c r="AD113" s="105"/>
      <c r="AE113" s="106"/>
    </row>
    <row r="114" spans="2:31" ht="21" customHeight="1">
      <c r="B114" s="109"/>
      <c r="C114" s="100"/>
      <c r="D114" s="99"/>
      <c r="E114" s="100"/>
      <c r="F114" s="100"/>
      <c r="G114" s="101"/>
      <c r="H114" s="101"/>
      <c r="I114" s="100"/>
      <c r="J114" s="101"/>
      <c r="K114" s="102"/>
      <c r="L114" s="103"/>
      <c r="M114" s="103"/>
      <c r="N114" s="103"/>
      <c r="O114" s="103"/>
      <c r="P114" s="103"/>
      <c r="Q114" s="107"/>
      <c r="R114" s="107"/>
      <c r="S114" s="99"/>
      <c r="T114" s="99"/>
      <c r="U114" s="104"/>
      <c r="V114" s="99"/>
      <c r="W114" s="99"/>
      <c r="X114" s="99"/>
      <c r="Y114" s="99"/>
      <c r="Z114" s="99"/>
      <c r="AA114" s="99"/>
      <c r="AB114" s="103"/>
      <c r="AC114" s="99"/>
      <c r="AD114" s="99"/>
      <c r="AE114" s="106"/>
    </row>
    <row r="115" spans="2:31" ht="21" customHeight="1">
      <c r="B115" s="109"/>
      <c r="C115" s="100"/>
      <c r="D115" s="99"/>
      <c r="E115" s="100"/>
      <c r="F115" s="101"/>
      <c r="G115" s="100"/>
      <c r="H115" s="101"/>
      <c r="I115" s="100"/>
      <c r="J115" s="100"/>
      <c r="K115" s="102"/>
      <c r="L115" s="103"/>
      <c r="M115" s="103"/>
      <c r="N115" s="103"/>
      <c r="O115" s="103"/>
      <c r="P115" s="103"/>
      <c r="Q115" s="107"/>
      <c r="R115" s="99"/>
      <c r="S115" s="99"/>
      <c r="T115" s="99"/>
      <c r="U115" s="104"/>
      <c r="V115" s="99"/>
      <c r="W115" s="99"/>
      <c r="X115" s="103"/>
      <c r="Y115" s="99"/>
      <c r="Z115" s="99"/>
      <c r="AA115" s="99"/>
      <c r="AB115" s="103"/>
      <c r="AC115" s="99"/>
      <c r="AD115" s="105"/>
      <c r="AE115" s="106"/>
    </row>
    <row r="116" spans="2:31" ht="21" customHeight="1">
      <c r="B116" s="99"/>
      <c r="C116" s="100"/>
      <c r="D116" s="99"/>
      <c r="E116" s="100"/>
      <c r="F116" s="100"/>
      <c r="G116" s="100"/>
      <c r="H116" s="101"/>
      <c r="I116" s="100"/>
      <c r="J116" s="100"/>
      <c r="K116" s="100"/>
      <c r="L116" s="103"/>
      <c r="M116" s="103"/>
      <c r="N116" s="103"/>
      <c r="O116" s="103"/>
      <c r="P116" s="103"/>
      <c r="Q116" s="99"/>
      <c r="R116" s="99"/>
      <c r="S116" s="99"/>
      <c r="T116" s="99"/>
      <c r="U116" s="104"/>
      <c r="V116" s="99"/>
      <c r="W116" s="99"/>
      <c r="X116" s="99"/>
      <c r="Y116" s="99"/>
      <c r="Z116" s="99"/>
      <c r="AA116" s="99"/>
      <c r="AB116" s="103"/>
      <c r="AC116" s="99"/>
      <c r="AD116" s="105"/>
      <c r="AE116" s="106"/>
    </row>
    <row r="117" spans="2:31" ht="21" customHeight="1">
      <c r="B117" s="109"/>
      <c r="C117" s="110"/>
      <c r="D117" s="110"/>
      <c r="E117" s="110"/>
      <c r="F117" s="111"/>
      <c r="G117" s="111"/>
      <c r="H117" s="111"/>
      <c r="I117" s="111"/>
      <c r="J117" s="111"/>
      <c r="K117" s="111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  <c r="AA117" s="113"/>
      <c r="AB117" s="113"/>
      <c r="AC117" s="111"/>
      <c r="AD117" s="111"/>
      <c r="AE117" s="106"/>
    </row>
    <row r="118" spans="2:31" ht="36" customHeight="1">
      <c r="B118" s="109"/>
      <c r="C118" s="110"/>
      <c r="D118" s="110"/>
      <c r="E118" s="110"/>
      <c r="F118" s="111"/>
      <c r="G118" s="111"/>
      <c r="H118" s="111"/>
      <c r="I118" s="111"/>
      <c r="J118" s="114"/>
      <c r="K118" s="114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5"/>
      <c r="AE118" s="106"/>
    </row>
    <row r="119" spans="2:31" ht="21" customHeight="1">
      <c r="B119" s="109"/>
      <c r="C119" s="110"/>
      <c r="D119" s="99"/>
      <c r="E119" s="100"/>
      <c r="F119" s="100"/>
      <c r="G119" s="100"/>
      <c r="H119" s="100"/>
      <c r="I119" s="100"/>
      <c r="J119" s="100"/>
      <c r="K119" s="100"/>
      <c r="L119" s="103"/>
      <c r="M119" s="103"/>
      <c r="N119" s="109"/>
      <c r="O119" s="109"/>
      <c r="P119" s="103"/>
      <c r="Q119" s="99"/>
      <c r="R119" s="99"/>
      <c r="S119" s="99"/>
      <c r="T119" s="99"/>
      <c r="U119" s="104"/>
      <c r="V119" s="99"/>
      <c r="W119" s="99"/>
      <c r="X119" s="99"/>
      <c r="Y119" s="99"/>
      <c r="Z119" s="99"/>
      <c r="AA119" s="99"/>
      <c r="AB119" s="103"/>
      <c r="AC119" s="99"/>
      <c r="AD119" s="99"/>
      <c r="AE119" s="106"/>
    </row>
    <row r="120" spans="2:31" ht="21" customHeight="1">
      <c r="B120" s="109"/>
      <c r="C120" s="110"/>
      <c r="D120" s="99"/>
      <c r="E120" s="100"/>
      <c r="F120" s="100"/>
      <c r="G120" s="100"/>
      <c r="H120" s="100"/>
      <c r="I120" s="100"/>
      <c r="J120" s="100"/>
      <c r="K120" s="101"/>
      <c r="L120" s="103"/>
      <c r="M120" s="103"/>
      <c r="N120" s="116"/>
      <c r="O120" s="116"/>
      <c r="P120" s="103"/>
      <c r="Q120" s="103"/>
      <c r="R120" s="105"/>
      <c r="S120" s="99"/>
      <c r="T120" s="99"/>
      <c r="U120" s="104"/>
      <c r="V120" s="99"/>
      <c r="W120" s="99"/>
      <c r="X120" s="99"/>
      <c r="Y120" s="99"/>
      <c r="Z120" s="99"/>
      <c r="AA120" s="99"/>
      <c r="AB120" s="103"/>
      <c r="AC120" s="99"/>
      <c r="AD120" s="99"/>
      <c r="AE120" s="106"/>
    </row>
    <row r="121" spans="2:31" ht="21" customHeight="1">
      <c r="B121" s="109"/>
      <c r="C121" s="110"/>
      <c r="D121" s="99"/>
      <c r="E121" s="100"/>
      <c r="F121" s="100"/>
      <c r="G121" s="100"/>
      <c r="H121" s="100"/>
      <c r="I121" s="100"/>
      <c r="J121" s="100"/>
      <c r="K121" s="101"/>
      <c r="L121" s="103"/>
      <c r="M121" s="103"/>
      <c r="N121" s="116"/>
      <c r="O121" s="116"/>
      <c r="P121" s="103"/>
      <c r="Q121" s="103"/>
      <c r="R121" s="103"/>
      <c r="S121" s="99"/>
      <c r="T121" s="99"/>
      <c r="U121" s="104"/>
      <c r="V121" s="99"/>
      <c r="W121" s="99"/>
      <c r="X121" s="99"/>
      <c r="Y121" s="99"/>
      <c r="Z121" s="99"/>
      <c r="AA121" s="99"/>
      <c r="AB121" s="103"/>
      <c r="AC121" s="99"/>
      <c r="AD121" s="99"/>
      <c r="AE121" s="106"/>
    </row>
    <row r="122" spans="2:31" ht="21" customHeight="1">
      <c r="B122" s="109"/>
      <c r="C122" s="110"/>
      <c r="D122" s="99"/>
      <c r="E122" s="100"/>
      <c r="F122" s="100"/>
      <c r="G122" s="100"/>
      <c r="H122" s="100"/>
      <c r="I122" s="100"/>
      <c r="J122" s="100"/>
      <c r="K122" s="101"/>
      <c r="L122" s="103"/>
      <c r="M122" s="103"/>
      <c r="N122" s="116"/>
      <c r="O122" s="116"/>
      <c r="P122" s="103"/>
      <c r="Q122" s="103"/>
      <c r="R122" s="103"/>
      <c r="S122" s="99"/>
      <c r="T122" s="99"/>
      <c r="U122" s="104"/>
      <c r="V122" s="99"/>
      <c r="W122" s="99"/>
      <c r="X122" s="99"/>
      <c r="Y122" s="99"/>
      <c r="Z122" s="99"/>
      <c r="AA122" s="99"/>
      <c r="AB122" s="103"/>
      <c r="AC122" s="99"/>
      <c r="AD122" s="99"/>
      <c r="AE122" s="106"/>
    </row>
    <row r="123" spans="2:31" ht="21" customHeight="1">
      <c r="B123" s="109"/>
      <c r="C123" s="110"/>
      <c r="D123" s="99"/>
      <c r="E123" s="100"/>
      <c r="F123" s="100"/>
      <c r="G123" s="100"/>
      <c r="H123" s="100"/>
      <c r="I123" s="100"/>
      <c r="J123" s="100"/>
      <c r="K123" s="101"/>
      <c r="L123" s="103"/>
      <c r="M123" s="103"/>
      <c r="N123" s="116"/>
      <c r="O123" s="116"/>
      <c r="P123" s="103"/>
      <c r="Q123" s="117"/>
      <c r="R123" s="103"/>
      <c r="S123" s="99"/>
      <c r="T123" s="99"/>
      <c r="U123" s="104"/>
      <c r="V123" s="99"/>
      <c r="W123" s="99"/>
      <c r="X123" s="99"/>
      <c r="Y123" s="99"/>
      <c r="Z123" s="99"/>
      <c r="AA123" s="99"/>
      <c r="AB123" s="103"/>
      <c r="AC123" s="99"/>
      <c r="AD123" s="99"/>
      <c r="AE123" s="106"/>
    </row>
    <row r="124" spans="2:31" ht="21" customHeight="1">
      <c r="B124" s="109"/>
      <c r="C124" s="110"/>
      <c r="D124" s="99"/>
      <c r="E124" s="100"/>
      <c r="F124" s="100"/>
      <c r="G124" s="100"/>
      <c r="H124" s="100"/>
      <c r="I124" s="100"/>
      <c r="J124" s="100"/>
      <c r="K124" s="100"/>
      <c r="L124" s="103"/>
      <c r="M124" s="103"/>
      <c r="N124" s="116"/>
      <c r="O124" s="116"/>
      <c r="P124" s="103"/>
      <c r="Q124" s="99"/>
      <c r="R124" s="103"/>
      <c r="S124" s="99"/>
      <c r="T124" s="99"/>
      <c r="U124" s="104"/>
      <c r="V124" s="99"/>
      <c r="W124" s="99"/>
      <c r="X124" s="99"/>
      <c r="Y124" s="99"/>
      <c r="Z124" s="99"/>
      <c r="AA124" s="99"/>
      <c r="AB124" s="103"/>
      <c r="AC124" s="99"/>
      <c r="AD124" s="99"/>
      <c r="AE124" s="106"/>
    </row>
    <row r="125" spans="2:31" ht="21" customHeight="1">
      <c r="B125" s="109"/>
      <c r="C125" s="110"/>
      <c r="D125" s="99"/>
      <c r="E125" s="100"/>
      <c r="F125" s="100"/>
      <c r="G125" s="100"/>
      <c r="H125" s="100"/>
      <c r="I125" s="100"/>
      <c r="J125" s="100"/>
      <c r="K125" s="100"/>
      <c r="L125" s="103"/>
      <c r="M125" s="103"/>
      <c r="N125" s="116"/>
      <c r="O125" s="116"/>
      <c r="P125" s="103"/>
      <c r="Q125" s="117"/>
      <c r="R125" s="105"/>
      <c r="S125" s="99"/>
      <c r="T125" s="99"/>
      <c r="U125" s="104"/>
      <c r="V125" s="99"/>
      <c r="W125" s="99"/>
      <c r="X125" s="99"/>
      <c r="Y125" s="99"/>
      <c r="Z125" s="99"/>
      <c r="AA125" s="99"/>
      <c r="AB125" s="103"/>
      <c r="AC125" s="99"/>
      <c r="AD125" s="99"/>
      <c r="AE125" s="106"/>
    </row>
    <row r="126" spans="2:31" ht="21" customHeight="1">
      <c r="B126" s="109"/>
      <c r="C126" s="110"/>
      <c r="D126" s="99"/>
      <c r="E126" s="100"/>
      <c r="F126" s="100"/>
      <c r="G126" s="100"/>
      <c r="H126" s="100"/>
      <c r="I126" s="100"/>
      <c r="J126" s="100"/>
      <c r="K126" s="100"/>
      <c r="L126" s="103"/>
      <c r="M126" s="103"/>
      <c r="N126" s="116"/>
      <c r="O126" s="116"/>
      <c r="P126" s="103"/>
      <c r="Q126" s="99"/>
      <c r="R126" s="99"/>
      <c r="S126" s="99"/>
      <c r="T126" s="99"/>
      <c r="U126" s="104"/>
      <c r="V126" s="99"/>
      <c r="W126" s="99"/>
      <c r="X126" s="99"/>
      <c r="Y126" s="99"/>
      <c r="Z126" s="99"/>
      <c r="AA126" s="99"/>
      <c r="AB126" s="103"/>
      <c r="AC126" s="99"/>
      <c r="AD126" s="99"/>
      <c r="AE126" s="106"/>
    </row>
    <row r="127" spans="2:31" ht="21" customHeight="1">
      <c r="B127" s="109"/>
      <c r="C127" s="110"/>
      <c r="D127" s="99"/>
      <c r="E127" s="100"/>
      <c r="F127" s="100"/>
      <c r="G127" s="100"/>
      <c r="H127" s="100"/>
      <c r="I127" s="100"/>
      <c r="J127" s="100"/>
      <c r="K127" s="100"/>
      <c r="L127" s="103"/>
      <c r="M127" s="103"/>
      <c r="N127" s="116"/>
      <c r="O127" s="116"/>
      <c r="P127" s="103"/>
      <c r="Q127" s="99"/>
      <c r="R127" s="105"/>
      <c r="S127" s="99"/>
      <c r="T127" s="99"/>
      <c r="U127" s="104"/>
      <c r="V127" s="99"/>
      <c r="W127" s="99"/>
      <c r="X127" s="99"/>
      <c r="Y127" s="99"/>
      <c r="Z127" s="99"/>
      <c r="AA127" s="99"/>
      <c r="AB127" s="103"/>
      <c r="AC127" s="99"/>
      <c r="AD127" s="99"/>
      <c r="AE127" s="106"/>
    </row>
    <row r="128" spans="2:31" ht="21" customHeight="1">
      <c r="B128" s="109"/>
      <c r="C128" s="110"/>
      <c r="D128" s="99"/>
      <c r="E128" s="100"/>
      <c r="F128" s="100"/>
      <c r="G128" s="100"/>
      <c r="H128" s="100"/>
      <c r="I128" s="100"/>
      <c r="J128" s="100"/>
      <c r="K128" s="100"/>
      <c r="L128" s="103"/>
      <c r="M128" s="103"/>
      <c r="N128" s="116"/>
      <c r="O128" s="116"/>
      <c r="P128" s="103"/>
      <c r="Q128" s="103"/>
      <c r="R128" s="103"/>
      <c r="S128" s="99"/>
      <c r="T128" s="99"/>
      <c r="U128" s="104"/>
      <c r="V128" s="99"/>
      <c r="W128" s="99"/>
      <c r="X128" s="99"/>
      <c r="Y128" s="99"/>
      <c r="Z128" s="99"/>
      <c r="AA128" s="99"/>
      <c r="AB128" s="103"/>
      <c r="AC128" s="99"/>
      <c r="AD128" s="99"/>
      <c r="AE128" s="106"/>
    </row>
    <row r="129" spans="2:31" ht="21" customHeight="1">
      <c r="B129" s="109"/>
      <c r="C129" s="110"/>
      <c r="D129" s="99"/>
      <c r="E129" s="100"/>
      <c r="F129" s="100"/>
      <c r="G129" s="100"/>
      <c r="H129" s="100"/>
      <c r="I129" s="100"/>
      <c r="J129" s="100"/>
      <c r="K129" s="100"/>
      <c r="L129" s="103"/>
      <c r="M129" s="103"/>
      <c r="N129" s="116"/>
      <c r="O129" s="116"/>
      <c r="P129" s="103"/>
      <c r="Q129" s="99"/>
      <c r="R129" s="99"/>
      <c r="S129" s="99"/>
      <c r="T129" s="99"/>
      <c r="U129" s="104"/>
      <c r="V129" s="99"/>
      <c r="W129" s="99"/>
      <c r="X129" s="99"/>
      <c r="Y129" s="99"/>
      <c r="Z129" s="99"/>
      <c r="AA129" s="99"/>
      <c r="AB129" s="103"/>
      <c r="AC129" s="99"/>
      <c r="AD129" s="99"/>
      <c r="AE129" s="106"/>
    </row>
    <row r="130" spans="2:31" ht="21" customHeight="1">
      <c r="B130" s="109"/>
      <c r="C130" s="110"/>
      <c r="D130" s="99"/>
      <c r="E130" s="100"/>
      <c r="F130" s="100"/>
      <c r="G130" s="100"/>
      <c r="H130" s="100"/>
      <c r="I130" s="100"/>
      <c r="J130" s="100"/>
      <c r="K130" s="100"/>
      <c r="L130" s="103"/>
      <c r="M130" s="103"/>
      <c r="N130" s="116"/>
      <c r="O130" s="116"/>
      <c r="P130" s="103"/>
      <c r="Q130" s="117"/>
      <c r="R130" s="103"/>
      <c r="S130" s="99"/>
      <c r="T130" s="99"/>
      <c r="U130" s="104"/>
      <c r="V130" s="99"/>
      <c r="W130" s="99"/>
      <c r="X130" s="99"/>
      <c r="Y130" s="99"/>
      <c r="Z130" s="99"/>
      <c r="AA130" s="99"/>
      <c r="AB130" s="103"/>
      <c r="AC130" s="99"/>
      <c r="AD130" s="99"/>
      <c r="AE130" s="106"/>
    </row>
    <row r="131" spans="2:31" ht="21" customHeight="1">
      <c r="B131" s="109"/>
      <c r="C131" s="110"/>
      <c r="D131" s="99"/>
      <c r="E131" s="100"/>
      <c r="F131" s="100"/>
      <c r="G131" s="100"/>
      <c r="H131" s="100"/>
      <c r="I131" s="100"/>
      <c r="J131" s="100"/>
      <c r="K131" s="100"/>
      <c r="L131" s="103"/>
      <c r="M131" s="103"/>
      <c r="N131" s="103"/>
      <c r="O131" s="103"/>
      <c r="P131" s="103"/>
      <c r="Q131" s="103"/>
      <c r="R131" s="99"/>
      <c r="S131" s="99"/>
      <c r="T131" s="99"/>
      <c r="U131" s="104"/>
      <c r="V131" s="99"/>
      <c r="W131" s="103"/>
      <c r="X131" s="99"/>
      <c r="Y131" s="99"/>
      <c r="Z131" s="99"/>
      <c r="AA131" s="99"/>
      <c r="AB131" s="103"/>
      <c r="AC131" s="99"/>
      <c r="AD131" s="99"/>
      <c r="AE131" s="106"/>
    </row>
    <row r="132" spans="2:31" ht="21" customHeight="1">
      <c r="B132" s="109"/>
      <c r="C132" s="110"/>
      <c r="D132" s="99"/>
      <c r="E132" s="100"/>
      <c r="F132" s="100"/>
      <c r="G132" s="100"/>
      <c r="H132" s="100"/>
      <c r="I132" s="100"/>
      <c r="J132" s="100"/>
      <c r="K132" s="100"/>
      <c r="L132" s="103"/>
      <c r="M132" s="103"/>
      <c r="N132" s="103"/>
      <c r="O132" s="103"/>
      <c r="P132" s="103"/>
      <c r="Q132" s="117"/>
      <c r="R132" s="99"/>
      <c r="S132" s="99"/>
      <c r="T132" s="99"/>
      <c r="U132" s="104"/>
      <c r="V132" s="99"/>
      <c r="W132" s="103"/>
      <c r="X132" s="99"/>
      <c r="Y132" s="99"/>
      <c r="Z132" s="99"/>
      <c r="AA132" s="99"/>
      <c r="AB132" s="103"/>
      <c r="AC132" s="99"/>
      <c r="AD132" s="99"/>
      <c r="AE132" s="106"/>
    </row>
    <row r="133" spans="2:31" ht="21" customHeight="1">
      <c r="B133" s="109"/>
      <c r="C133" s="110"/>
      <c r="D133" s="99"/>
      <c r="E133" s="100"/>
      <c r="F133" s="100"/>
      <c r="G133" s="100"/>
      <c r="H133" s="101"/>
      <c r="I133" s="100"/>
      <c r="J133" s="100"/>
      <c r="K133" s="100"/>
      <c r="L133" s="103"/>
      <c r="M133" s="103"/>
      <c r="N133" s="116"/>
      <c r="O133" s="116"/>
      <c r="P133" s="103"/>
      <c r="Q133" s="99"/>
      <c r="R133" s="99"/>
      <c r="S133" s="99"/>
      <c r="T133" s="99"/>
      <c r="U133" s="104"/>
      <c r="V133" s="99"/>
      <c r="W133" s="99"/>
      <c r="X133" s="99"/>
      <c r="Y133" s="99"/>
      <c r="Z133" s="99"/>
      <c r="AA133" s="99"/>
      <c r="AB133" s="103"/>
      <c r="AC133" s="99"/>
      <c r="AD133" s="99"/>
      <c r="AE133" s="106"/>
    </row>
    <row r="134" spans="2:31" ht="21" customHeight="1">
      <c r="B134" s="109"/>
      <c r="C134" s="110"/>
      <c r="D134" s="99"/>
      <c r="E134" s="100"/>
      <c r="F134" s="100"/>
      <c r="G134" s="100"/>
      <c r="H134" s="101"/>
      <c r="I134" s="100"/>
      <c r="J134" s="100"/>
      <c r="K134" s="100"/>
      <c r="L134" s="103"/>
      <c r="M134" s="103"/>
      <c r="N134" s="116"/>
      <c r="O134" s="116"/>
      <c r="P134" s="103"/>
      <c r="Q134" s="99"/>
      <c r="R134" s="99"/>
      <c r="S134" s="99"/>
      <c r="T134" s="99"/>
      <c r="U134" s="104"/>
      <c r="V134" s="99"/>
      <c r="W134" s="99"/>
      <c r="X134" s="99"/>
      <c r="Y134" s="99"/>
      <c r="Z134" s="99"/>
      <c r="AA134" s="99"/>
      <c r="AB134" s="103"/>
      <c r="AC134" s="99"/>
      <c r="AD134" s="99"/>
      <c r="AE134" s="106"/>
    </row>
    <row r="135" spans="2:31" ht="21" customHeight="1">
      <c r="B135" s="109"/>
      <c r="C135" s="110"/>
      <c r="D135" s="99"/>
      <c r="E135" s="100"/>
      <c r="F135" s="100"/>
      <c r="G135" s="100"/>
      <c r="H135" s="101"/>
      <c r="I135" s="100"/>
      <c r="J135" s="100"/>
      <c r="K135" s="100"/>
      <c r="L135" s="103"/>
      <c r="M135" s="103"/>
      <c r="N135" s="103"/>
      <c r="O135" s="103"/>
      <c r="P135" s="103"/>
      <c r="Q135" s="99"/>
      <c r="R135" s="99"/>
      <c r="S135" s="99"/>
      <c r="T135" s="99"/>
      <c r="U135" s="104"/>
      <c r="V135" s="99"/>
      <c r="W135" s="103"/>
      <c r="X135" s="99"/>
      <c r="Y135" s="99"/>
      <c r="Z135" s="99"/>
      <c r="AA135" s="99"/>
      <c r="AB135" s="99"/>
      <c r="AC135" s="99"/>
      <c r="AD135" s="99"/>
      <c r="AE135" s="106"/>
    </row>
    <row r="136" spans="2:31" ht="21" customHeight="1">
      <c r="B136" s="109"/>
      <c r="C136" s="110"/>
      <c r="D136" s="99"/>
      <c r="E136" s="100"/>
      <c r="F136" s="100"/>
      <c r="G136" s="100"/>
      <c r="H136" s="101"/>
      <c r="I136" s="102"/>
      <c r="J136" s="100"/>
      <c r="K136" s="100"/>
      <c r="L136" s="103"/>
      <c r="M136" s="103"/>
      <c r="N136" s="116"/>
      <c r="O136" s="116"/>
      <c r="P136" s="103"/>
      <c r="Q136" s="99"/>
      <c r="R136" s="99"/>
      <c r="S136" s="99"/>
      <c r="T136" s="99"/>
      <c r="U136" s="104"/>
      <c r="V136" s="99"/>
      <c r="W136" s="99"/>
      <c r="X136" s="103"/>
      <c r="Y136" s="103"/>
      <c r="Z136" s="99"/>
      <c r="AA136" s="99"/>
      <c r="AB136" s="99"/>
      <c r="AC136" s="99"/>
      <c r="AD136" s="99"/>
      <c r="AE136" s="106"/>
    </row>
    <row r="137" spans="2:31" ht="21" customHeight="1">
      <c r="B137" s="109"/>
      <c r="C137" s="110"/>
      <c r="D137" s="99"/>
      <c r="E137" s="100"/>
      <c r="F137" s="100"/>
      <c r="G137" s="100"/>
      <c r="H137" s="101"/>
      <c r="I137" s="100"/>
      <c r="J137" s="100"/>
      <c r="K137" s="100"/>
      <c r="L137" s="103"/>
      <c r="M137" s="103"/>
      <c r="N137" s="103"/>
      <c r="O137" s="103"/>
      <c r="P137" s="103"/>
      <c r="Q137" s="99"/>
      <c r="R137" s="108"/>
      <c r="S137" s="99"/>
      <c r="T137" s="99"/>
      <c r="U137" s="104"/>
      <c r="V137" s="99"/>
      <c r="W137" s="99"/>
      <c r="X137" s="99"/>
      <c r="Y137" s="99"/>
      <c r="Z137" s="99"/>
      <c r="AA137" s="99"/>
      <c r="AB137" s="99"/>
      <c r="AC137" s="99"/>
      <c r="AD137" s="99"/>
      <c r="AE137" s="106"/>
    </row>
    <row r="138" spans="2:31" ht="21" customHeight="1">
      <c r="B138" s="109"/>
      <c r="C138" s="100"/>
      <c r="D138" s="99"/>
      <c r="E138" s="100"/>
      <c r="F138" s="100"/>
      <c r="G138" s="101"/>
      <c r="H138" s="101"/>
      <c r="I138" s="100"/>
      <c r="J138" s="100"/>
      <c r="K138" s="100"/>
      <c r="L138" s="103"/>
      <c r="M138" s="103"/>
      <c r="N138" s="103"/>
      <c r="O138" s="103"/>
      <c r="P138" s="103"/>
      <c r="Q138" s="99"/>
      <c r="R138" s="99"/>
      <c r="S138" s="99"/>
      <c r="T138" s="99"/>
      <c r="U138" s="104"/>
      <c r="V138" s="99"/>
      <c r="W138" s="99"/>
      <c r="X138" s="99"/>
      <c r="Y138" s="103"/>
      <c r="Z138" s="99"/>
      <c r="AA138" s="99"/>
      <c r="AB138" s="103"/>
      <c r="AC138" s="99"/>
      <c r="AD138" s="105"/>
      <c r="AE138" s="106"/>
    </row>
    <row r="139" spans="2:31" ht="21" customHeight="1">
      <c r="B139" s="109"/>
      <c r="C139" s="100"/>
      <c r="D139" s="99"/>
      <c r="E139" s="100"/>
      <c r="F139" s="100"/>
      <c r="G139" s="100"/>
      <c r="H139" s="101"/>
      <c r="I139" s="102"/>
      <c r="J139" s="100"/>
      <c r="K139" s="100"/>
      <c r="L139" s="103"/>
      <c r="M139" s="103"/>
      <c r="N139" s="103"/>
      <c r="O139" s="103"/>
      <c r="P139" s="103"/>
      <c r="Q139" s="99"/>
      <c r="R139" s="99"/>
      <c r="S139" s="99"/>
      <c r="T139" s="99"/>
      <c r="U139" s="104"/>
      <c r="V139" s="99"/>
      <c r="W139" s="99"/>
      <c r="X139" s="99"/>
      <c r="Y139" s="103"/>
      <c r="Z139" s="99"/>
      <c r="AA139" s="99"/>
      <c r="AB139" s="99"/>
      <c r="AC139" s="99"/>
      <c r="AD139" s="99"/>
      <c r="AE139" s="106"/>
    </row>
    <row r="140" spans="2:31" ht="21" customHeight="1">
      <c r="B140" s="109"/>
      <c r="C140" s="100"/>
      <c r="D140" s="99"/>
      <c r="E140" s="100"/>
      <c r="F140" s="101"/>
      <c r="G140" s="100"/>
      <c r="H140" s="101"/>
      <c r="I140" s="100"/>
      <c r="J140" s="101"/>
      <c r="K140" s="102"/>
      <c r="L140" s="103"/>
      <c r="M140" s="103"/>
      <c r="N140" s="103"/>
      <c r="O140" s="103"/>
      <c r="P140" s="103"/>
      <c r="Q140" s="105"/>
      <c r="R140" s="108"/>
      <c r="S140" s="99"/>
      <c r="T140" s="99"/>
      <c r="U140" s="104"/>
      <c r="V140" s="99"/>
      <c r="W140" s="99"/>
      <c r="X140" s="103"/>
      <c r="Y140" s="103"/>
      <c r="Z140" s="99"/>
      <c r="AA140" s="99"/>
      <c r="AB140" s="103"/>
      <c r="AC140" s="99"/>
      <c r="AD140" s="99"/>
      <c r="AE140" s="106"/>
    </row>
    <row r="141" spans="2:31" ht="21" customHeight="1">
      <c r="B141" s="109"/>
      <c r="C141" s="100"/>
      <c r="D141" s="99"/>
      <c r="E141" s="100"/>
      <c r="F141" s="100"/>
      <c r="G141" s="101"/>
      <c r="H141" s="101"/>
      <c r="I141" s="100"/>
      <c r="J141" s="101"/>
      <c r="K141" s="102"/>
      <c r="L141" s="103"/>
      <c r="M141" s="103"/>
      <c r="N141" s="103"/>
      <c r="O141" s="103"/>
      <c r="P141" s="103"/>
      <c r="Q141" s="99"/>
      <c r="R141" s="108"/>
      <c r="S141" s="99"/>
      <c r="T141" s="99"/>
      <c r="U141" s="104"/>
      <c r="V141" s="99"/>
      <c r="W141" s="99"/>
      <c r="X141" s="99"/>
      <c r="Y141" s="103"/>
      <c r="Z141" s="99"/>
      <c r="AA141" s="99"/>
      <c r="AB141" s="103"/>
      <c r="AC141" s="99"/>
      <c r="AD141" s="105"/>
      <c r="AE141" s="106"/>
    </row>
    <row r="142" spans="2:31" ht="21" customHeight="1">
      <c r="B142" s="109"/>
      <c r="C142" s="100"/>
      <c r="D142" s="99"/>
      <c r="E142" s="100"/>
      <c r="F142" s="100"/>
      <c r="G142" s="101"/>
      <c r="H142" s="101"/>
      <c r="I142" s="100"/>
      <c r="J142" s="101"/>
      <c r="K142" s="102"/>
      <c r="L142" s="103"/>
      <c r="M142" s="103"/>
      <c r="N142" s="103"/>
      <c r="O142" s="103"/>
      <c r="P142" s="103"/>
      <c r="Q142" s="105"/>
      <c r="R142" s="108"/>
      <c r="S142" s="99"/>
      <c r="T142" s="99"/>
      <c r="U142" s="104"/>
      <c r="V142" s="99"/>
      <c r="W142" s="99"/>
      <c r="X142" s="99"/>
      <c r="Y142" s="99"/>
      <c r="Z142" s="99"/>
      <c r="AA142" s="99"/>
      <c r="AB142" s="103"/>
      <c r="AC142" s="99"/>
      <c r="AD142" s="99"/>
      <c r="AE142" s="106"/>
    </row>
    <row r="143" spans="2:31" ht="21" customHeight="1">
      <c r="B143" s="99"/>
      <c r="C143" s="100"/>
      <c r="D143" s="99"/>
      <c r="E143" s="100"/>
      <c r="F143" s="101"/>
      <c r="G143" s="100"/>
      <c r="H143" s="101"/>
      <c r="I143" s="100"/>
      <c r="J143" s="100"/>
      <c r="K143" s="102"/>
      <c r="L143" s="103"/>
      <c r="M143" s="103"/>
      <c r="N143" s="103"/>
      <c r="O143" s="103"/>
      <c r="P143" s="103"/>
      <c r="Q143" s="107"/>
      <c r="R143" s="99"/>
      <c r="S143" s="99"/>
      <c r="T143" s="99"/>
      <c r="U143" s="104"/>
      <c r="V143" s="99"/>
      <c r="W143" s="99"/>
      <c r="X143" s="103"/>
      <c r="Y143" s="99"/>
      <c r="Z143" s="99"/>
      <c r="AA143" s="99"/>
      <c r="AB143" s="103"/>
      <c r="AC143" s="99"/>
      <c r="AD143" s="105"/>
      <c r="AE143" s="106"/>
    </row>
    <row r="144" spans="2:31" ht="20" customHeight="1">
      <c r="B144" s="109"/>
      <c r="C144" s="110"/>
      <c r="D144" s="99"/>
      <c r="E144" s="100"/>
      <c r="F144" s="100"/>
      <c r="G144" s="100"/>
      <c r="H144" s="100"/>
      <c r="I144" s="100"/>
      <c r="J144" s="100"/>
      <c r="K144" s="100"/>
      <c r="L144" s="103"/>
      <c r="M144" s="103"/>
      <c r="N144" s="109"/>
      <c r="O144" s="109"/>
      <c r="P144" s="103"/>
      <c r="Q144" s="99"/>
      <c r="R144" s="99"/>
      <c r="S144" s="99"/>
      <c r="T144" s="99"/>
      <c r="U144" s="104"/>
      <c r="V144" s="99"/>
      <c r="W144" s="99"/>
      <c r="X144" s="99"/>
      <c r="Y144" s="99"/>
      <c r="Z144" s="99"/>
      <c r="AA144" s="99"/>
      <c r="AB144" s="103"/>
      <c r="AC144" s="99"/>
      <c r="AD144" s="99"/>
      <c r="AE144" s="106"/>
    </row>
    <row r="145" spans="2:31" ht="20" customHeight="1">
      <c r="B145" s="109"/>
      <c r="C145" s="110"/>
      <c r="D145" s="99"/>
      <c r="E145" s="100"/>
      <c r="F145" s="100"/>
      <c r="G145" s="100"/>
      <c r="H145" s="100"/>
      <c r="I145" s="100"/>
      <c r="J145" s="100"/>
      <c r="K145" s="101"/>
      <c r="L145" s="103"/>
      <c r="M145" s="103"/>
      <c r="N145" s="116"/>
      <c r="O145" s="116"/>
      <c r="P145" s="103"/>
      <c r="Q145" s="103"/>
      <c r="R145" s="103"/>
      <c r="S145" s="99"/>
      <c r="T145" s="99"/>
      <c r="U145" s="104"/>
      <c r="V145" s="99"/>
      <c r="W145" s="99"/>
      <c r="X145" s="99"/>
      <c r="Y145" s="99"/>
      <c r="Z145" s="99"/>
      <c r="AA145" s="99"/>
      <c r="AB145" s="103"/>
      <c r="AC145" s="99"/>
      <c r="AD145" s="99"/>
      <c r="AE145" s="106"/>
    </row>
    <row r="146" spans="2:31" ht="20" customHeight="1">
      <c r="B146" s="109"/>
      <c r="C146" s="110"/>
      <c r="D146" s="99"/>
      <c r="E146" s="100"/>
      <c r="F146" s="100"/>
      <c r="G146" s="100"/>
      <c r="H146" s="100"/>
      <c r="I146" s="100"/>
      <c r="J146" s="100"/>
      <c r="K146" s="101"/>
      <c r="L146" s="103"/>
      <c r="M146" s="103"/>
      <c r="N146" s="116"/>
      <c r="O146" s="116"/>
      <c r="P146" s="103"/>
      <c r="Q146" s="103"/>
      <c r="R146" s="103"/>
      <c r="S146" s="99"/>
      <c r="T146" s="99"/>
      <c r="U146" s="104"/>
      <c r="V146" s="99"/>
      <c r="W146" s="99"/>
      <c r="X146" s="99"/>
      <c r="Y146" s="99"/>
      <c r="Z146" s="99"/>
      <c r="AA146" s="99"/>
      <c r="AB146" s="103"/>
      <c r="AC146" s="99"/>
      <c r="AD146" s="99"/>
      <c r="AE146" s="106"/>
    </row>
    <row r="147" spans="2:31" ht="20" customHeight="1">
      <c r="B147" s="109"/>
      <c r="C147" s="110"/>
      <c r="D147" s="99"/>
      <c r="E147" s="100"/>
      <c r="F147" s="100"/>
      <c r="G147" s="100"/>
      <c r="H147" s="100"/>
      <c r="I147" s="100"/>
      <c r="J147" s="100"/>
      <c r="K147" s="101"/>
      <c r="L147" s="103"/>
      <c r="M147" s="103"/>
      <c r="N147" s="116"/>
      <c r="O147" s="116"/>
      <c r="P147" s="103"/>
      <c r="Q147" s="117"/>
      <c r="R147" s="105"/>
      <c r="S147" s="99"/>
      <c r="T147" s="99"/>
      <c r="U147" s="104"/>
      <c r="V147" s="99"/>
      <c r="W147" s="99"/>
      <c r="X147" s="99"/>
      <c r="Y147" s="99"/>
      <c r="Z147" s="99"/>
      <c r="AA147" s="99"/>
      <c r="AB147" s="103"/>
      <c r="AC147" s="99"/>
      <c r="AD147" s="99"/>
      <c r="AE147" s="106"/>
    </row>
    <row r="148" spans="2:31" ht="20" customHeight="1">
      <c r="B148" s="109"/>
      <c r="C148" s="110"/>
      <c r="D148" s="99"/>
      <c r="E148" s="100"/>
      <c r="F148" s="100"/>
      <c r="G148" s="100"/>
      <c r="H148" s="100"/>
      <c r="I148" s="100"/>
      <c r="J148" s="100"/>
      <c r="K148" s="101"/>
      <c r="L148" s="103"/>
      <c r="M148" s="103"/>
      <c r="N148" s="116"/>
      <c r="O148" s="116"/>
      <c r="P148" s="103"/>
      <c r="Q148" s="117"/>
      <c r="R148" s="105"/>
      <c r="S148" s="99"/>
      <c r="T148" s="105"/>
      <c r="U148" s="104"/>
      <c r="V148" s="99"/>
      <c r="W148" s="99"/>
      <c r="X148" s="99"/>
      <c r="Y148" s="99"/>
      <c r="Z148" s="99"/>
      <c r="AA148" s="99"/>
      <c r="AB148" s="103"/>
      <c r="AC148" s="99"/>
      <c r="AD148" s="99"/>
      <c r="AE148" s="106"/>
    </row>
    <row r="149" spans="2:31" ht="20" customHeight="1">
      <c r="B149" s="109"/>
      <c r="C149" s="110"/>
      <c r="D149" s="99"/>
      <c r="E149" s="100"/>
      <c r="F149" s="100"/>
      <c r="G149" s="100"/>
      <c r="H149" s="101"/>
      <c r="I149" s="100"/>
      <c r="J149" s="100"/>
      <c r="K149" s="100"/>
      <c r="L149" s="103"/>
      <c r="M149" s="103"/>
      <c r="N149" s="116"/>
      <c r="O149" s="116"/>
      <c r="P149" s="103"/>
      <c r="Q149" s="99"/>
      <c r="R149" s="103"/>
      <c r="S149" s="99"/>
      <c r="T149" s="99"/>
      <c r="U149" s="104"/>
      <c r="V149" s="99"/>
      <c r="W149" s="99"/>
      <c r="X149" s="99"/>
      <c r="Y149" s="99"/>
      <c r="Z149" s="99"/>
      <c r="AA149" s="99"/>
      <c r="AB149" s="103"/>
      <c r="AC149" s="99"/>
      <c r="AD149" s="99"/>
      <c r="AE149" s="106"/>
    </row>
    <row r="150" spans="2:31" ht="20" customHeight="1">
      <c r="B150" s="109"/>
      <c r="C150" s="110"/>
      <c r="D150" s="99"/>
      <c r="E150" s="100"/>
      <c r="F150" s="100"/>
      <c r="G150" s="100"/>
      <c r="H150" s="100"/>
      <c r="I150" s="100"/>
      <c r="J150" s="100"/>
      <c r="K150" s="100"/>
      <c r="L150" s="103"/>
      <c r="M150" s="103"/>
      <c r="N150" s="116"/>
      <c r="O150" s="116"/>
      <c r="P150" s="103"/>
      <c r="Q150" s="103"/>
      <c r="R150" s="105"/>
      <c r="S150" s="107"/>
      <c r="T150" s="117"/>
      <c r="U150" s="104"/>
      <c r="V150" s="99"/>
      <c r="W150" s="99"/>
      <c r="X150" s="99"/>
      <c r="Y150" s="99"/>
      <c r="Z150" s="99"/>
      <c r="AA150" s="99"/>
      <c r="AB150" s="103"/>
      <c r="AC150" s="99"/>
      <c r="AD150" s="99"/>
      <c r="AE150" s="106"/>
    </row>
    <row r="151" spans="2:31" ht="20" customHeight="1">
      <c r="B151" s="109"/>
      <c r="C151" s="110"/>
      <c r="D151" s="99"/>
      <c r="E151" s="100"/>
      <c r="F151" s="100"/>
      <c r="G151" s="100"/>
      <c r="H151" s="101"/>
      <c r="I151" s="100"/>
      <c r="J151" s="100"/>
      <c r="K151" s="100"/>
      <c r="L151" s="103"/>
      <c r="M151" s="103"/>
      <c r="N151" s="116"/>
      <c r="O151" s="116"/>
      <c r="P151" s="103"/>
      <c r="Q151" s="99"/>
      <c r="R151" s="99"/>
      <c r="S151" s="99"/>
      <c r="T151" s="99"/>
      <c r="U151" s="104"/>
      <c r="V151" s="99"/>
      <c r="W151" s="99"/>
      <c r="X151" s="99"/>
      <c r="Y151" s="99"/>
      <c r="Z151" s="99"/>
      <c r="AA151" s="99"/>
      <c r="AB151" s="99"/>
      <c r="AC151" s="99"/>
      <c r="AD151" s="99"/>
      <c r="AE151" s="106"/>
    </row>
    <row r="152" spans="2:31" ht="20" customHeight="1">
      <c r="B152" s="109"/>
      <c r="C152" s="110"/>
      <c r="D152" s="99"/>
      <c r="E152" s="100"/>
      <c r="F152" s="100"/>
      <c r="G152" s="100"/>
      <c r="H152" s="101"/>
      <c r="I152" s="100"/>
      <c r="J152" s="100"/>
      <c r="K152" s="100"/>
      <c r="L152" s="103"/>
      <c r="M152" s="103"/>
      <c r="N152" s="103"/>
      <c r="O152" s="103"/>
      <c r="P152" s="103"/>
      <c r="Q152" s="99"/>
      <c r="R152" s="105"/>
      <c r="S152" s="99"/>
      <c r="T152" s="99"/>
      <c r="U152" s="104"/>
      <c r="V152" s="99"/>
      <c r="W152" s="99"/>
      <c r="X152" s="99"/>
      <c r="Y152" s="99"/>
      <c r="Z152" s="99"/>
      <c r="AA152" s="99"/>
      <c r="AB152" s="99"/>
      <c r="AC152" s="99"/>
      <c r="AD152" s="99"/>
      <c r="AE152" s="106"/>
    </row>
    <row r="153" spans="2:31" ht="20" customHeight="1">
      <c r="B153" s="109"/>
      <c r="C153" s="110"/>
      <c r="D153" s="99"/>
      <c r="E153" s="100"/>
      <c r="F153" s="100"/>
      <c r="G153" s="100"/>
      <c r="H153" s="101"/>
      <c r="I153" s="102"/>
      <c r="J153" s="100"/>
      <c r="K153" s="100"/>
      <c r="L153" s="103"/>
      <c r="M153" s="103"/>
      <c r="N153" s="103"/>
      <c r="O153" s="103"/>
      <c r="P153" s="103"/>
      <c r="Q153" s="103"/>
      <c r="R153" s="105"/>
      <c r="S153" s="108"/>
      <c r="T153" s="107"/>
      <c r="U153" s="104"/>
      <c r="V153" s="99"/>
      <c r="W153" s="103"/>
      <c r="X153" s="103"/>
      <c r="Y153" s="103"/>
      <c r="Z153" s="99"/>
      <c r="AA153" s="99"/>
      <c r="AB153" s="99"/>
      <c r="AC153" s="99"/>
      <c r="AD153" s="99"/>
      <c r="AE153" s="106"/>
    </row>
    <row r="154" spans="2:31" ht="20" customHeight="1">
      <c r="B154" s="109"/>
      <c r="C154" s="110"/>
      <c r="D154" s="99"/>
      <c r="E154" s="100"/>
      <c r="F154" s="100"/>
      <c r="G154" s="100"/>
      <c r="H154" s="101"/>
      <c r="I154" s="100"/>
      <c r="J154" s="100"/>
      <c r="K154" s="100"/>
      <c r="L154" s="103"/>
      <c r="M154" s="103"/>
      <c r="N154" s="103"/>
      <c r="O154" s="103"/>
      <c r="P154" s="103"/>
      <c r="Q154" s="99"/>
      <c r="R154" s="99"/>
      <c r="S154" s="99"/>
      <c r="T154" s="107"/>
      <c r="U154" s="104"/>
      <c r="V154" s="99"/>
      <c r="W154" s="99"/>
      <c r="X154" s="99"/>
      <c r="Y154" s="99"/>
      <c r="Z154" s="99"/>
      <c r="AA154" s="99"/>
      <c r="AB154" s="99"/>
      <c r="AC154" s="99"/>
      <c r="AD154" s="99"/>
      <c r="AE154" s="106"/>
    </row>
    <row r="155" spans="2:31" ht="20" customHeight="1">
      <c r="B155" s="109"/>
      <c r="C155" s="110"/>
      <c r="D155" s="99"/>
      <c r="E155" s="100"/>
      <c r="F155" s="100"/>
      <c r="G155" s="100"/>
      <c r="H155" s="101"/>
      <c r="I155" s="100"/>
      <c r="J155" s="100"/>
      <c r="K155" s="100"/>
      <c r="L155" s="103"/>
      <c r="M155" s="103"/>
      <c r="N155" s="116"/>
      <c r="O155" s="116"/>
      <c r="P155" s="103"/>
      <c r="Q155" s="103"/>
      <c r="R155" s="105"/>
      <c r="S155" s="107"/>
      <c r="T155" s="107"/>
      <c r="U155" s="104"/>
      <c r="V155" s="99"/>
      <c r="W155" s="99"/>
      <c r="X155" s="99"/>
      <c r="Y155" s="99"/>
      <c r="Z155" s="99"/>
      <c r="AA155" s="99"/>
      <c r="AB155" s="99"/>
      <c r="AC155" s="99"/>
      <c r="AD155" s="99"/>
      <c r="AE155" s="106"/>
    </row>
    <row r="156" spans="2:31" ht="20" customHeight="1">
      <c r="B156" s="109"/>
      <c r="C156" s="110"/>
      <c r="D156" s="99"/>
      <c r="E156" s="100"/>
      <c r="F156" s="100"/>
      <c r="G156" s="100"/>
      <c r="H156" s="101"/>
      <c r="I156" s="100"/>
      <c r="J156" s="100"/>
      <c r="K156" s="100"/>
      <c r="L156" s="103"/>
      <c r="M156" s="103"/>
      <c r="N156" s="116"/>
      <c r="O156" s="116"/>
      <c r="P156" s="103"/>
      <c r="Q156" s="99"/>
      <c r="R156" s="99"/>
      <c r="S156" s="99"/>
      <c r="T156" s="99"/>
      <c r="U156" s="104"/>
      <c r="V156" s="99"/>
      <c r="W156" s="99"/>
      <c r="X156" s="99"/>
      <c r="Y156" s="99"/>
      <c r="Z156" s="99"/>
      <c r="AA156" s="99"/>
      <c r="AB156" s="99"/>
      <c r="AC156" s="99"/>
      <c r="AD156" s="99"/>
      <c r="AE156" s="106"/>
    </row>
    <row r="157" spans="2:31" ht="20" customHeight="1">
      <c r="B157" s="109"/>
      <c r="C157" s="110"/>
      <c r="D157" s="99"/>
      <c r="E157" s="100"/>
      <c r="F157" s="100"/>
      <c r="G157" s="100"/>
      <c r="H157" s="101"/>
      <c r="I157" s="100"/>
      <c r="J157" s="100"/>
      <c r="K157" s="100"/>
      <c r="L157" s="103"/>
      <c r="M157" s="103"/>
      <c r="N157" s="103"/>
      <c r="O157" s="103"/>
      <c r="P157" s="103"/>
      <c r="Q157" s="99"/>
      <c r="R157" s="105"/>
      <c r="S157" s="99"/>
      <c r="T157" s="99"/>
      <c r="U157" s="104"/>
      <c r="V157" s="99"/>
      <c r="W157" s="99"/>
      <c r="X157" s="99"/>
      <c r="Y157" s="99"/>
      <c r="Z157" s="99"/>
      <c r="AA157" s="99"/>
      <c r="AB157" s="99"/>
      <c r="AC157" s="99"/>
      <c r="AD157" s="99"/>
      <c r="AE157" s="106"/>
    </row>
    <row r="158" spans="2:31" ht="20" customHeight="1">
      <c r="B158" s="109"/>
      <c r="C158" s="110"/>
      <c r="D158" s="99"/>
      <c r="E158" s="100"/>
      <c r="F158" s="100"/>
      <c r="G158" s="100"/>
      <c r="H158" s="101"/>
      <c r="I158" s="100"/>
      <c r="J158" s="100"/>
      <c r="K158" s="100"/>
      <c r="L158" s="103"/>
      <c r="M158" s="103"/>
      <c r="N158" s="103"/>
      <c r="O158" s="103"/>
      <c r="P158" s="103"/>
      <c r="Q158" s="99"/>
      <c r="R158" s="99"/>
      <c r="S158" s="99"/>
      <c r="T158" s="99"/>
      <c r="U158" s="104"/>
      <c r="V158" s="99"/>
      <c r="W158" s="99"/>
      <c r="X158" s="99"/>
      <c r="Y158" s="103"/>
      <c r="Z158" s="99"/>
      <c r="AA158" s="99"/>
      <c r="AB158" s="99"/>
      <c r="AC158" s="99"/>
      <c r="AD158" s="99"/>
      <c r="AE158" s="106"/>
    </row>
    <row r="159" spans="2:31" ht="20" customHeight="1">
      <c r="B159" s="109"/>
      <c r="C159" s="110"/>
      <c r="D159" s="99"/>
      <c r="E159" s="100"/>
      <c r="F159" s="100"/>
      <c r="G159" s="100"/>
      <c r="H159" s="101"/>
      <c r="I159" s="100"/>
      <c r="J159" s="100"/>
      <c r="K159" s="100"/>
      <c r="L159" s="103"/>
      <c r="M159" s="103"/>
      <c r="N159" s="103"/>
      <c r="O159" s="103"/>
      <c r="P159" s="103"/>
      <c r="Q159" s="99"/>
      <c r="R159" s="108"/>
      <c r="S159" s="99"/>
      <c r="T159" s="99"/>
      <c r="U159" s="104"/>
      <c r="V159" s="99"/>
      <c r="W159" s="99"/>
      <c r="X159" s="103"/>
      <c r="Y159" s="99"/>
      <c r="Z159" s="99"/>
      <c r="AA159" s="99"/>
      <c r="AB159" s="99"/>
      <c r="AC159" s="99"/>
      <c r="AD159" s="99"/>
      <c r="AE159" s="106"/>
    </row>
    <row r="160" spans="2:31" ht="20" customHeight="1">
      <c r="B160" s="109"/>
      <c r="C160" s="110"/>
      <c r="D160" s="99"/>
      <c r="E160" s="100"/>
      <c r="F160" s="100"/>
      <c r="G160" s="100"/>
      <c r="H160" s="101"/>
      <c r="I160" s="100"/>
      <c r="J160" s="100"/>
      <c r="K160" s="100"/>
      <c r="L160" s="103"/>
      <c r="M160" s="103"/>
      <c r="N160" s="103"/>
      <c r="O160" s="103"/>
      <c r="P160" s="103"/>
      <c r="Q160" s="99"/>
      <c r="R160" s="99"/>
      <c r="S160" s="99"/>
      <c r="T160" s="99"/>
      <c r="U160" s="104"/>
      <c r="V160" s="99"/>
      <c r="W160" s="99"/>
      <c r="X160" s="99"/>
      <c r="Y160" s="99"/>
      <c r="Z160" s="99"/>
      <c r="AA160" s="99"/>
      <c r="AB160" s="99"/>
      <c r="AC160" s="99"/>
      <c r="AD160" s="99"/>
      <c r="AE160" s="106"/>
    </row>
    <row r="161" spans="2:31" ht="20" customHeight="1">
      <c r="B161" s="109"/>
      <c r="C161" s="110"/>
      <c r="D161" s="99"/>
      <c r="E161" s="100"/>
      <c r="F161" s="100"/>
      <c r="G161" s="100"/>
      <c r="H161" s="101"/>
      <c r="I161" s="100"/>
      <c r="J161" s="100"/>
      <c r="K161" s="100"/>
      <c r="L161" s="103"/>
      <c r="M161" s="103"/>
      <c r="N161" s="103"/>
      <c r="O161" s="103"/>
      <c r="P161" s="103"/>
      <c r="Q161" s="99"/>
      <c r="R161" s="99"/>
      <c r="S161" s="99"/>
      <c r="T161" s="99"/>
      <c r="U161" s="104"/>
      <c r="V161" s="99"/>
      <c r="W161" s="99"/>
      <c r="X161" s="99"/>
      <c r="Y161" s="99"/>
      <c r="Z161" s="99"/>
      <c r="AA161" s="99"/>
      <c r="AB161" s="99"/>
      <c r="AC161" s="99"/>
      <c r="AD161" s="99"/>
      <c r="AE161" s="106"/>
    </row>
    <row r="162" spans="2:31" ht="20" customHeight="1">
      <c r="B162" s="109"/>
      <c r="C162" s="100"/>
      <c r="D162" s="99"/>
      <c r="E162" s="100"/>
      <c r="F162" s="100"/>
      <c r="G162" s="101"/>
      <c r="H162" s="101"/>
      <c r="I162" s="100"/>
      <c r="J162" s="100"/>
      <c r="K162" s="100"/>
      <c r="L162" s="103"/>
      <c r="M162" s="103"/>
      <c r="N162" s="103"/>
      <c r="O162" s="103"/>
      <c r="P162" s="103"/>
      <c r="Q162" s="99"/>
      <c r="R162" s="99"/>
      <c r="S162" s="99"/>
      <c r="T162" s="99"/>
      <c r="U162" s="104"/>
      <c r="V162" s="99"/>
      <c r="W162" s="99"/>
      <c r="X162" s="103"/>
      <c r="Y162" s="99"/>
      <c r="Z162" s="99"/>
      <c r="AA162" s="99"/>
      <c r="AB162" s="103"/>
      <c r="AC162" s="99"/>
      <c r="AD162" s="99"/>
      <c r="AE162" s="106"/>
    </row>
    <row r="163" spans="2:31" ht="20" customHeight="1">
      <c r="B163" s="109"/>
      <c r="C163" s="100"/>
      <c r="D163" s="99"/>
      <c r="E163" s="100"/>
      <c r="F163" s="100"/>
      <c r="G163" s="101"/>
      <c r="H163" s="101"/>
      <c r="I163" s="100"/>
      <c r="J163" s="100"/>
      <c r="K163" s="100"/>
      <c r="L163" s="103"/>
      <c r="M163" s="103"/>
      <c r="N163" s="103"/>
      <c r="O163" s="103"/>
      <c r="P163" s="103"/>
      <c r="Q163" s="107"/>
      <c r="R163" s="99"/>
      <c r="S163" s="99"/>
      <c r="T163" s="99"/>
      <c r="U163" s="104"/>
      <c r="V163" s="99"/>
      <c r="W163" s="99"/>
      <c r="X163" s="99"/>
      <c r="Y163" s="99"/>
      <c r="Z163" s="99"/>
      <c r="AA163" s="99"/>
      <c r="AB163" s="103"/>
      <c r="AC163" s="99"/>
      <c r="AD163" s="105"/>
      <c r="AE163" s="106"/>
    </row>
    <row r="164" spans="2:31" ht="20" customHeight="1">
      <c r="B164" s="109"/>
      <c r="C164" s="100"/>
      <c r="D164" s="99"/>
      <c r="E164" s="100"/>
      <c r="F164" s="100"/>
      <c r="G164" s="100"/>
      <c r="H164" s="101"/>
      <c r="I164" s="100"/>
      <c r="J164" s="100"/>
      <c r="K164" s="102"/>
      <c r="L164" s="103"/>
      <c r="M164" s="103"/>
      <c r="N164" s="103"/>
      <c r="O164" s="103"/>
      <c r="P164" s="103"/>
      <c r="Q164" s="99"/>
      <c r="R164" s="99"/>
      <c r="S164" s="99"/>
      <c r="T164" s="99"/>
      <c r="U164" s="104"/>
      <c r="V164" s="99"/>
      <c r="W164" s="99"/>
      <c r="X164" s="99"/>
      <c r="Y164" s="99"/>
      <c r="Z164" s="99"/>
      <c r="AA164" s="99"/>
      <c r="AB164" s="103"/>
      <c r="AC164" s="99"/>
      <c r="AD164" s="105"/>
      <c r="AE164" s="106"/>
    </row>
    <row r="165" spans="2:31" ht="20" customHeight="1">
      <c r="B165" s="109"/>
      <c r="C165" s="100"/>
      <c r="D165" s="99"/>
      <c r="E165" s="100"/>
      <c r="F165" s="100"/>
      <c r="G165" s="100"/>
      <c r="H165" s="101"/>
      <c r="I165" s="100"/>
      <c r="J165" s="100"/>
      <c r="K165" s="100"/>
      <c r="L165" s="103"/>
      <c r="M165" s="103"/>
      <c r="N165" s="103"/>
      <c r="O165" s="103"/>
      <c r="P165" s="103"/>
      <c r="Q165" s="99"/>
      <c r="R165" s="107"/>
      <c r="S165" s="99"/>
      <c r="T165" s="99"/>
      <c r="U165" s="104"/>
      <c r="V165" s="99"/>
      <c r="W165" s="99"/>
      <c r="X165" s="99"/>
      <c r="Y165" s="99"/>
      <c r="Z165" s="99"/>
      <c r="AA165" s="99"/>
      <c r="AB165" s="103"/>
      <c r="AC165" s="99"/>
      <c r="AD165" s="99"/>
      <c r="AE165" s="106"/>
    </row>
    <row r="166" spans="2:31" ht="20" customHeight="1">
      <c r="B166" s="109"/>
      <c r="C166" s="100"/>
      <c r="D166" s="99"/>
      <c r="E166" s="100"/>
      <c r="F166" s="100"/>
      <c r="G166" s="100"/>
      <c r="H166" s="101"/>
      <c r="I166" s="100"/>
      <c r="J166" s="101"/>
      <c r="K166" s="100"/>
      <c r="L166" s="103"/>
      <c r="M166" s="103"/>
      <c r="N166" s="103"/>
      <c r="O166" s="103"/>
      <c r="P166" s="103"/>
      <c r="Q166" s="99"/>
      <c r="R166" s="108"/>
      <c r="S166" s="99"/>
      <c r="T166" s="99"/>
      <c r="U166" s="104"/>
      <c r="V166" s="99"/>
      <c r="W166" s="99"/>
      <c r="X166" s="99"/>
      <c r="Y166" s="99"/>
      <c r="Z166" s="99"/>
      <c r="AA166" s="99"/>
      <c r="AB166" s="103"/>
      <c r="AC166" s="99"/>
      <c r="AD166" s="99"/>
      <c r="AE166" s="106"/>
    </row>
    <row r="167" spans="2:31" ht="21" customHeight="1"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06"/>
      <c r="V167" s="106"/>
      <c r="W167" s="106"/>
      <c r="X167" s="106"/>
      <c r="Y167" s="106"/>
      <c r="Z167" s="106"/>
      <c r="AA167" s="106"/>
      <c r="AB167" s="103"/>
      <c r="AC167" s="106"/>
      <c r="AD167" s="106"/>
      <c r="AE167" s="106"/>
    </row>
    <row r="168" spans="2:31" ht="21" customHeight="1">
      <c r="B168" s="109"/>
      <c r="C168" s="110"/>
      <c r="D168" s="110"/>
      <c r="E168" s="110"/>
      <c r="F168" s="111"/>
      <c r="G168" s="111"/>
      <c r="H168" s="111"/>
      <c r="I168" s="111"/>
      <c r="J168" s="111"/>
      <c r="K168" s="111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  <c r="AA168" s="113"/>
      <c r="AB168" s="113"/>
      <c r="AC168" s="111"/>
      <c r="AD168" s="111"/>
      <c r="AE168" s="99"/>
    </row>
    <row r="169" spans="2:31" ht="36" customHeight="1">
      <c r="B169" s="109"/>
      <c r="C169" s="110"/>
      <c r="D169" s="110"/>
      <c r="E169" s="110"/>
      <c r="F169" s="111"/>
      <c r="G169" s="111"/>
      <c r="H169" s="111"/>
      <c r="I169" s="111"/>
      <c r="J169" s="114"/>
      <c r="K169" s="114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5"/>
      <c r="AE169" s="100"/>
    </row>
    <row r="170" spans="2:31" ht="19.5" customHeight="1">
      <c r="B170" s="109"/>
      <c r="C170" s="110"/>
      <c r="D170" s="99"/>
      <c r="E170" s="100"/>
      <c r="F170" s="100"/>
      <c r="G170" s="100"/>
      <c r="H170" s="100"/>
      <c r="I170" s="100"/>
      <c r="J170" s="100"/>
      <c r="K170" s="100"/>
      <c r="L170" s="103"/>
      <c r="M170" s="103"/>
      <c r="N170" s="109"/>
      <c r="O170" s="109"/>
      <c r="P170" s="103"/>
      <c r="Q170" s="99"/>
      <c r="R170" s="99"/>
      <c r="S170" s="99"/>
      <c r="T170" s="99"/>
      <c r="U170" s="104"/>
      <c r="V170" s="99"/>
      <c r="W170" s="99"/>
      <c r="X170" s="99"/>
      <c r="Y170" s="99"/>
      <c r="Z170" s="99"/>
      <c r="AA170" s="99"/>
      <c r="AB170" s="103"/>
      <c r="AC170" s="99"/>
      <c r="AD170" s="99"/>
      <c r="AE170" s="100"/>
    </row>
    <row r="171" spans="2:31" ht="19.5" customHeight="1">
      <c r="B171" s="109"/>
      <c r="C171" s="110"/>
      <c r="D171" s="99"/>
      <c r="E171" s="100"/>
      <c r="F171" s="100"/>
      <c r="G171" s="100"/>
      <c r="H171" s="100"/>
      <c r="I171" s="100"/>
      <c r="J171" s="100"/>
      <c r="K171" s="101"/>
      <c r="L171" s="103"/>
      <c r="M171" s="103"/>
      <c r="N171" s="116"/>
      <c r="O171" s="116"/>
      <c r="P171" s="103"/>
      <c r="Q171" s="103"/>
      <c r="R171" s="103"/>
      <c r="S171" s="99"/>
      <c r="T171" s="99"/>
      <c r="U171" s="104"/>
      <c r="V171" s="99"/>
      <c r="W171" s="99"/>
      <c r="X171" s="99"/>
      <c r="Y171" s="99"/>
      <c r="Z171" s="99"/>
      <c r="AA171" s="99"/>
      <c r="AB171" s="103"/>
      <c r="AC171" s="99"/>
      <c r="AD171" s="99"/>
      <c r="AE171" s="102"/>
    </row>
    <row r="172" spans="2:31" ht="19.5" customHeight="1">
      <c r="B172" s="109"/>
      <c r="C172" s="110"/>
      <c r="D172" s="99"/>
      <c r="E172" s="100"/>
      <c r="F172" s="100"/>
      <c r="G172" s="100"/>
      <c r="H172" s="100"/>
      <c r="I172" s="100"/>
      <c r="J172" s="100"/>
      <c r="K172" s="101"/>
      <c r="L172" s="103"/>
      <c r="M172" s="103"/>
      <c r="N172" s="116"/>
      <c r="O172" s="116"/>
      <c r="P172" s="103"/>
      <c r="Q172" s="117"/>
      <c r="R172" s="105"/>
      <c r="S172" s="99"/>
      <c r="T172" s="99"/>
      <c r="U172" s="104"/>
      <c r="V172" s="99"/>
      <c r="W172" s="99"/>
      <c r="X172" s="99"/>
      <c r="Y172" s="99"/>
      <c r="Z172" s="99"/>
      <c r="AA172" s="99"/>
      <c r="AB172" s="103"/>
      <c r="AC172" s="99"/>
      <c r="AD172" s="99"/>
      <c r="AE172" s="99"/>
    </row>
    <row r="173" spans="2:31" ht="19.5" customHeight="1">
      <c r="B173" s="109"/>
      <c r="C173" s="110"/>
      <c r="D173" s="99"/>
      <c r="E173" s="100"/>
      <c r="F173" s="100"/>
      <c r="G173" s="100"/>
      <c r="H173" s="100"/>
      <c r="I173" s="100"/>
      <c r="J173" s="100"/>
      <c r="K173" s="101"/>
      <c r="L173" s="103"/>
      <c r="M173" s="103"/>
      <c r="N173" s="116"/>
      <c r="O173" s="116"/>
      <c r="P173" s="103"/>
      <c r="Q173" s="103"/>
      <c r="R173" s="103"/>
      <c r="S173" s="99"/>
      <c r="T173" s="99"/>
      <c r="U173" s="104"/>
      <c r="V173" s="99"/>
      <c r="W173" s="99"/>
      <c r="X173" s="99"/>
      <c r="Y173" s="99"/>
      <c r="Z173" s="99"/>
      <c r="AA173" s="99"/>
      <c r="AB173" s="103"/>
      <c r="AC173" s="99"/>
      <c r="AD173" s="99"/>
      <c r="AE173" s="99"/>
    </row>
    <row r="174" spans="2:31" ht="19.5" customHeight="1">
      <c r="B174" s="109"/>
      <c r="C174" s="110"/>
      <c r="D174" s="99"/>
      <c r="E174" s="100"/>
      <c r="F174" s="100"/>
      <c r="G174" s="100"/>
      <c r="H174" s="100"/>
      <c r="I174" s="100"/>
      <c r="J174" s="100"/>
      <c r="K174" s="101"/>
      <c r="L174" s="103"/>
      <c r="M174" s="103"/>
      <c r="N174" s="116"/>
      <c r="O174" s="116"/>
      <c r="P174" s="103"/>
      <c r="Q174" s="117"/>
      <c r="R174" s="103"/>
      <c r="S174" s="99"/>
      <c r="T174" s="105"/>
      <c r="U174" s="104"/>
      <c r="V174" s="99"/>
      <c r="W174" s="99"/>
      <c r="X174" s="99"/>
      <c r="Y174" s="99"/>
      <c r="Z174" s="99"/>
      <c r="AA174" s="99"/>
      <c r="AB174" s="103"/>
      <c r="AC174" s="99"/>
      <c r="AD174" s="99"/>
      <c r="AE174" s="99"/>
    </row>
    <row r="175" spans="2:31" ht="19.5" customHeight="1">
      <c r="B175" s="109"/>
      <c r="C175" s="110"/>
      <c r="D175" s="99"/>
      <c r="E175" s="100"/>
      <c r="F175" s="100"/>
      <c r="G175" s="100"/>
      <c r="H175" s="101"/>
      <c r="I175" s="100"/>
      <c r="J175" s="100"/>
      <c r="K175" s="100"/>
      <c r="L175" s="103"/>
      <c r="M175" s="103"/>
      <c r="N175" s="116"/>
      <c r="O175" s="116"/>
      <c r="P175" s="103"/>
      <c r="Q175" s="99"/>
      <c r="R175" s="105"/>
      <c r="S175" s="99"/>
      <c r="T175" s="99"/>
      <c r="U175" s="104"/>
      <c r="V175" s="99"/>
      <c r="W175" s="99"/>
      <c r="X175" s="99"/>
      <c r="Y175" s="99"/>
      <c r="Z175" s="99"/>
      <c r="AA175" s="99"/>
      <c r="AB175" s="103"/>
      <c r="AC175" s="99"/>
      <c r="AD175" s="99"/>
      <c r="AE175" s="99"/>
    </row>
    <row r="176" spans="2:31" ht="19.5" customHeight="1">
      <c r="B176" s="109"/>
      <c r="C176" s="110"/>
      <c r="D176" s="99"/>
      <c r="E176" s="100"/>
      <c r="F176" s="100"/>
      <c r="G176" s="100"/>
      <c r="H176" s="100"/>
      <c r="I176" s="100"/>
      <c r="J176" s="100"/>
      <c r="K176" s="100"/>
      <c r="L176" s="103"/>
      <c r="M176" s="103"/>
      <c r="N176" s="116"/>
      <c r="O176" s="116"/>
      <c r="P176" s="103"/>
      <c r="Q176" s="103"/>
      <c r="R176" s="103"/>
      <c r="S176" s="107"/>
      <c r="T176" s="105"/>
      <c r="U176" s="104"/>
      <c r="V176" s="99"/>
      <c r="W176" s="99"/>
      <c r="X176" s="99"/>
      <c r="Y176" s="99"/>
      <c r="Z176" s="99"/>
      <c r="AA176" s="99"/>
      <c r="AB176" s="103"/>
      <c r="AC176" s="99"/>
      <c r="AD176" s="99"/>
      <c r="AE176" s="99"/>
    </row>
    <row r="177" spans="2:31" ht="19.5" customHeight="1">
      <c r="B177" s="109"/>
      <c r="C177" s="110"/>
      <c r="D177" s="99"/>
      <c r="E177" s="100"/>
      <c r="F177" s="100"/>
      <c r="G177" s="100"/>
      <c r="H177" s="101"/>
      <c r="I177" s="100"/>
      <c r="J177" s="100"/>
      <c r="K177" s="100"/>
      <c r="L177" s="103"/>
      <c r="M177" s="103"/>
      <c r="N177" s="116"/>
      <c r="O177" s="116"/>
      <c r="P177" s="103"/>
      <c r="Q177" s="99"/>
      <c r="R177" s="99"/>
      <c r="S177" s="99"/>
      <c r="T177" s="99"/>
      <c r="U177" s="104"/>
      <c r="V177" s="99"/>
      <c r="W177" s="99"/>
      <c r="X177" s="99"/>
      <c r="Y177" s="99"/>
      <c r="Z177" s="99"/>
      <c r="AA177" s="99"/>
      <c r="AB177" s="99"/>
      <c r="AC177" s="99"/>
      <c r="AD177" s="99"/>
      <c r="AE177" s="119"/>
    </row>
    <row r="178" spans="2:31" ht="19.5" customHeight="1">
      <c r="B178" s="109"/>
      <c r="C178" s="100"/>
      <c r="D178" s="99"/>
      <c r="E178" s="100"/>
      <c r="F178" s="100"/>
      <c r="G178" s="100"/>
      <c r="H178" s="101"/>
      <c r="I178" s="100"/>
      <c r="J178" s="101"/>
      <c r="K178" s="100"/>
      <c r="L178" s="103"/>
      <c r="M178" s="103"/>
      <c r="N178" s="103"/>
      <c r="O178" s="103"/>
      <c r="P178" s="103"/>
      <c r="Q178" s="99"/>
      <c r="R178" s="108"/>
      <c r="S178" s="99"/>
      <c r="T178" s="99"/>
      <c r="U178" s="104"/>
      <c r="V178" s="99"/>
      <c r="W178" s="99"/>
      <c r="X178" s="99"/>
      <c r="Y178" s="99"/>
      <c r="Z178" s="99"/>
      <c r="AA178" s="99"/>
      <c r="AB178" s="103"/>
      <c r="AC178" s="99"/>
      <c r="AD178" s="99"/>
      <c r="AE178" s="106"/>
    </row>
    <row r="179" spans="2:31" ht="19.5" customHeight="1">
      <c r="B179" s="109"/>
      <c r="C179" s="100"/>
      <c r="D179" s="99"/>
      <c r="E179" s="100"/>
      <c r="F179" s="100"/>
      <c r="G179" s="100"/>
      <c r="H179" s="101"/>
      <c r="I179" s="102"/>
      <c r="J179" s="100"/>
      <c r="K179" s="102"/>
      <c r="L179" s="103"/>
      <c r="M179" s="103"/>
      <c r="N179" s="103"/>
      <c r="O179" s="103"/>
      <c r="P179" s="103"/>
      <c r="Q179" s="117"/>
      <c r="R179" s="108"/>
      <c r="S179" s="108"/>
      <c r="T179" s="107"/>
      <c r="U179" s="104"/>
      <c r="V179" s="99"/>
      <c r="W179" s="103"/>
      <c r="X179" s="103"/>
      <c r="Y179" s="103"/>
      <c r="Z179" s="99"/>
      <c r="AA179" s="99"/>
      <c r="AB179" s="103"/>
      <c r="AC179" s="99"/>
      <c r="AD179" s="99"/>
      <c r="AE179" s="119"/>
    </row>
    <row r="180" spans="2:31" ht="19.5" customHeight="1">
      <c r="B180" s="109"/>
      <c r="C180" s="100"/>
      <c r="D180" s="99"/>
      <c r="E180" s="100"/>
      <c r="F180" s="100"/>
      <c r="G180" s="100"/>
      <c r="H180" s="101"/>
      <c r="I180" s="100"/>
      <c r="J180" s="100"/>
      <c r="K180" s="100"/>
      <c r="L180" s="103"/>
      <c r="M180" s="103"/>
      <c r="N180" s="103"/>
      <c r="O180" s="103"/>
      <c r="P180" s="103"/>
      <c r="Q180" s="99"/>
      <c r="R180" s="99"/>
      <c r="S180" s="99"/>
      <c r="T180" s="107"/>
      <c r="U180" s="104"/>
      <c r="V180" s="99"/>
      <c r="W180" s="99"/>
      <c r="X180" s="99"/>
      <c r="Y180" s="99"/>
      <c r="Z180" s="99"/>
      <c r="AA180" s="99"/>
      <c r="AB180" s="103"/>
      <c r="AC180" s="99"/>
      <c r="AD180" s="99"/>
      <c r="AE180" s="106"/>
    </row>
    <row r="181" spans="2:31"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  <c r="AC181" s="106"/>
      <c r="AD181" s="106"/>
      <c r="AE181" s="106"/>
    </row>
    <row r="182" spans="2:31">
      <c r="B182" s="106"/>
      <c r="C182" s="106"/>
      <c r="D182" s="118"/>
      <c r="E182" s="99"/>
      <c r="F182" s="99"/>
      <c r="G182" s="99"/>
      <c r="H182" s="99"/>
      <c r="I182" s="99"/>
      <c r="J182" s="99"/>
      <c r="K182" s="99"/>
      <c r="L182" s="99"/>
      <c r="M182" s="99"/>
      <c r="N182" s="106"/>
      <c r="O182" s="118"/>
      <c r="P182" s="99"/>
      <c r="Q182" s="99"/>
      <c r="R182" s="99"/>
      <c r="S182" s="99"/>
      <c r="T182" s="99"/>
      <c r="U182" s="99"/>
      <c r="V182" s="99"/>
      <c r="W182" s="99"/>
      <c r="X182" s="99"/>
      <c r="Y182" s="106"/>
      <c r="Z182" s="106"/>
      <c r="AA182" s="106"/>
      <c r="AB182" s="106"/>
      <c r="AC182" s="106"/>
      <c r="AD182" s="106"/>
      <c r="AE182" s="106"/>
    </row>
    <row r="183" spans="2:31">
      <c r="B183" s="106"/>
      <c r="C183" s="106"/>
      <c r="D183" s="118"/>
      <c r="E183" s="103"/>
      <c r="F183" s="103"/>
      <c r="G183" s="103"/>
      <c r="H183" s="103"/>
      <c r="I183" s="103"/>
      <c r="J183" s="103"/>
      <c r="K183" s="103"/>
      <c r="L183" s="103"/>
      <c r="M183" s="103"/>
      <c r="N183" s="106"/>
      <c r="O183" s="118"/>
      <c r="P183" s="103"/>
      <c r="Q183" s="99"/>
      <c r="R183" s="99"/>
      <c r="S183" s="99"/>
      <c r="T183" s="99"/>
      <c r="U183" s="103"/>
      <c r="V183" s="103"/>
      <c r="W183" s="103"/>
      <c r="X183" s="103"/>
      <c r="Y183" s="106"/>
      <c r="Z183" s="106"/>
      <c r="AA183" s="106"/>
      <c r="AB183" s="106"/>
      <c r="AC183" s="106"/>
      <c r="AD183" s="106"/>
      <c r="AE183" s="106"/>
    </row>
    <row r="184" spans="2:31">
      <c r="B184" s="106"/>
      <c r="C184" s="106"/>
      <c r="D184" s="118"/>
      <c r="E184" s="103"/>
      <c r="F184" s="103"/>
      <c r="G184" s="103"/>
      <c r="H184" s="103"/>
      <c r="I184" s="103"/>
      <c r="J184" s="103"/>
      <c r="K184" s="99"/>
      <c r="L184" s="103"/>
      <c r="M184" s="103"/>
      <c r="N184" s="106"/>
      <c r="O184" s="118"/>
      <c r="P184" s="103"/>
      <c r="Q184" s="99"/>
      <c r="R184" s="99"/>
      <c r="S184" s="99"/>
      <c r="T184" s="99"/>
      <c r="U184" s="103"/>
      <c r="V184" s="99"/>
      <c r="W184" s="103"/>
      <c r="X184" s="103"/>
      <c r="Y184" s="106"/>
      <c r="Z184" s="106"/>
      <c r="AA184" s="106"/>
      <c r="AB184" s="106"/>
      <c r="AC184" s="106"/>
      <c r="AD184" s="106"/>
      <c r="AE184" s="106"/>
    </row>
    <row r="185" spans="2:31">
      <c r="B185" s="106"/>
      <c r="C185" s="106"/>
      <c r="D185" s="118"/>
      <c r="E185" s="103"/>
      <c r="F185" s="103"/>
      <c r="G185" s="103"/>
      <c r="H185" s="103"/>
      <c r="I185" s="103"/>
      <c r="J185" s="103"/>
      <c r="K185" s="99"/>
      <c r="L185" s="103"/>
      <c r="M185" s="103"/>
      <c r="N185" s="106"/>
      <c r="O185" s="118"/>
      <c r="P185" s="103"/>
      <c r="Q185" s="103"/>
      <c r="R185" s="103"/>
      <c r="S185" s="103"/>
      <c r="T185" s="103"/>
      <c r="U185" s="103"/>
      <c r="V185" s="99"/>
      <c r="W185" s="103"/>
      <c r="X185" s="103"/>
      <c r="Y185" s="106"/>
      <c r="Z185" s="106"/>
      <c r="AA185" s="106"/>
      <c r="AB185" s="106"/>
      <c r="AC185" s="106"/>
      <c r="AD185" s="106"/>
      <c r="AE185" s="106"/>
    </row>
    <row r="186" spans="2:31">
      <c r="B186" s="106"/>
      <c r="C186" s="106"/>
      <c r="D186" s="118"/>
      <c r="E186" s="103"/>
      <c r="F186" s="103"/>
      <c r="G186" s="103"/>
      <c r="H186" s="103"/>
      <c r="I186" s="103"/>
      <c r="J186" s="103"/>
      <c r="K186" s="99"/>
      <c r="L186" s="103"/>
      <c r="M186" s="99"/>
      <c r="N186" s="106"/>
      <c r="O186" s="118"/>
      <c r="P186" s="103"/>
      <c r="Q186" s="99"/>
      <c r="R186" s="99"/>
      <c r="S186" s="99"/>
      <c r="T186" s="99"/>
      <c r="U186" s="103"/>
      <c r="V186" s="99"/>
      <c r="W186" s="103"/>
      <c r="X186" s="99"/>
      <c r="Y186" s="106"/>
      <c r="Z186" s="106"/>
      <c r="AA186" s="106"/>
      <c r="AB186" s="106"/>
      <c r="AC186" s="106"/>
      <c r="AD186" s="106"/>
      <c r="AE186" s="106"/>
    </row>
    <row r="187" spans="2:31">
      <c r="B187" s="106"/>
      <c r="C187" s="106"/>
      <c r="D187" s="118"/>
      <c r="E187" s="103"/>
      <c r="F187" s="103"/>
      <c r="G187" s="103"/>
      <c r="H187" s="103"/>
      <c r="I187" s="103"/>
      <c r="J187" s="103"/>
      <c r="K187" s="99"/>
      <c r="L187" s="103"/>
      <c r="M187" s="99"/>
      <c r="N187" s="106"/>
      <c r="O187" s="118"/>
      <c r="P187" s="103"/>
      <c r="Q187" s="99"/>
      <c r="R187" s="99"/>
      <c r="S187" s="99"/>
      <c r="T187" s="99"/>
      <c r="U187" s="103"/>
      <c r="V187" s="99"/>
      <c r="W187" s="103"/>
      <c r="X187" s="99"/>
      <c r="Y187" s="106"/>
      <c r="Z187" s="106"/>
      <c r="AA187" s="106"/>
      <c r="AB187" s="106"/>
      <c r="AC187" s="106"/>
      <c r="AD187" s="106"/>
      <c r="AE187" s="106"/>
    </row>
    <row r="188" spans="2:31">
      <c r="B188" s="106"/>
      <c r="C188" s="106"/>
      <c r="D188" s="118"/>
      <c r="E188" s="118"/>
      <c r="F188" s="118"/>
      <c r="G188" s="118"/>
      <c r="H188" s="103"/>
      <c r="I188" s="103"/>
      <c r="J188" s="103"/>
      <c r="K188" s="99"/>
      <c r="L188" s="99"/>
      <c r="M188" s="99"/>
      <c r="N188" s="106"/>
      <c r="O188" s="118"/>
      <c r="P188" s="118"/>
      <c r="Q188" s="99"/>
      <c r="R188" s="99"/>
      <c r="S188" s="99"/>
      <c r="T188" s="99"/>
      <c r="U188" s="103"/>
      <c r="V188" s="99"/>
      <c r="W188" s="99"/>
      <c r="X188" s="99"/>
      <c r="Y188" s="106"/>
      <c r="Z188" s="106"/>
      <c r="AA188" s="106"/>
      <c r="AB188" s="106"/>
      <c r="AC188" s="106"/>
      <c r="AD188" s="106"/>
      <c r="AE188" s="106"/>
    </row>
    <row r="189" spans="2:31">
      <c r="B189" s="106"/>
      <c r="C189" s="106"/>
      <c r="D189" s="118"/>
      <c r="E189" s="118"/>
      <c r="F189" s="118"/>
      <c r="G189" s="118"/>
      <c r="H189" s="103"/>
      <c r="I189" s="103"/>
      <c r="J189" s="103"/>
      <c r="K189" s="99"/>
      <c r="L189" s="99"/>
      <c r="M189" s="99"/>
      <c r="N189" s="106"/>
      <c r="O189" s="118"/>
      <c r="P189" s="118"/>
      <c r="Q189" s="103"/>
      <c r="R189" s="103"/>
      <c r="S189" s="103"/>
      <c r="T189" s="103"/>
      <c r="U189" s="103"/>
      <c r="V189" s="99"/>
      <c r="W189" s="99"/>
      <c r="X189" s="99"/>
      <c r="Y189" s="106"/>
      <c r="Z189" s="106"/>
      <c r="AA189" s="106"/>
      <c r="AB189" s="106"/>
      <c r="AC189" s="106"/>
      <c r="AD189" s="106"/>
      <c r="AE189" s="106"/>
    </row>
    <row r="190" spans="2:31">
      <c r="B190" s="106"/>
      <c r="C190" s="106"/>
      <c r="D190" s="106"/>
      <c r="E190" s="120"/>
      <c r="F190" s="120"/>
      <c r="G190" s="120"/>
      <c r="H190" s="103"/>
      <c r="I190" s="103"/>
      <c r="J190" s="103"/>
      <c r="K190" s="120"/>
      <c r="L190" s="120"/>
      <c r="M190" s="120"/>
      <c r="N190" s="106"/>
      <c r="O190" s="106"/>
      <c r="P190" s="120"/>
      <c r="Q190" s="99"/>
      <c r="R190" s="99"/>
      <c r="S190" s="99"/>
      <c r="T190" s="99"/>
      <c r="U190" s="103"/>
      <c r="V190" s="120"/>
      <c r="W190" s="120"/>
      <c r="X190" s="120"/>
      <c r="Y190" s="106"/>
      <c r="Z190" s="106"/>
      <c r="AA190" s="106"/>
      <c r="AB190" s="106"/>
      <c r="AC190" s="106"/>
      <c r="AD190" s="106"/>
      <c r="AE190" s="106"/>
    </row>
    <row r="191" spans="2:31"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  <c r="AD191" s="106"/>
      <c r="AE191" s="106"/>
    </row>
    <row r="192" spans="2:31"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06"/>
      <c r="AB192" s="106"/>
      <c r="AC192" s="106"/>
      <c r="AD192" s="106"/>
      <c r="AE192" s="106"/>
    </row>
    <row r="193" spans="2:31"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19"/>
      <c r="Q193" s="119"/>
      <c r="R193" s="119"/>
      <c r="S193" s="119"/>
      <c r="T193" s="119"/>
      <c r="U193" s="119"/>
      <c r="V193" s="119"/>
      <c r="W193" s="119"/>
      <c r="X193" s="119"/>
      <c r="Y193" s="106"/>
      <c r="Z193" s="106"/>
      <c r="AA193" s="106"/>
      <c r="AB193" s="106"/>
      <c r="AC193" s="106"/>
      <c r="AD193" s="106"/>
      <c r="AE193" s="106"/>
    </row>
    <row r="194" spans="2:31"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18"/>
      <c r="P194" s="99"/>
      <c r="Q194" s="99"/>
      <c r="R194" s="99"/>
      <c r="S194" s="99"/>
      <c r="T194" s="99"/>
      <c r="U194" s="99"/>
      <c r="V194" s="99"/>
      <c r="W194" s="99"/>
      <c r="X194" s="99"/>
      <c r="Y194" s="106"/>
      <c r="Z194" s="106"/>
      <c r="AA194" s="106"/>
      <c r="AB194" s="106"/>
      <c r="AC194" s="106"/>
      <c r="AD194" s="106"/>
      <c r="AE194" s="106"/>
    </row>
    <row r="195" spans="2:31"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18"/>
      <c r="P195" s="103"/>
      <c r="Q195" s="99"/>
      <c r="R195" s="99"/>
      <c r="S195" s="99"/>
      <c r="T195" s="99"/>
      <c r="U195" s="103"/>
      <c r="V195" s="103"/>
      <c r="W195" s="103"/>
      <c r="X195" s="103"/>
      <c r="Y195" s="106"/>
      <c r="Z195" s="106"/>
      <c r="AA195" s="106"/>
      <c r="AB195" s="106"/>
      <c r="AC195" s="106"/>
      <c r="AD195" s="106"/>
      <c r="AE195" s="106"/>
    </row>
    <row r="196" spans="2:31"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18"/>
      <c r="P196" s="103"/>
      <c r="Q196" s="99"/>
      <c r="R196" s="99"/>
      <c r="S196" s="99"/>
      <c r="T196" s="99"/>
      <c r="U196" s="103"/>
      <c r="V196" s="99"/>
      <c r="W196" s="103"/>
      <c r="X196" s="103"/>
      <c r="Y196" s="106"/>
      <c r="Z196" s="106"/>
      <c r="AA196" s="106"/>
      <c r="AB196" s="106"/>
      <c r="AC196" s="106"/>
      <c r="AD196" s="106"/>
      <c r="AE196" s="106"/>
    </row>
    <row r="197" spans="2:31"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18"/>
      <c r="P197" s="103"/>
      <c r="Q197" s="103"/>
      <c r="R197" s="103"/>
      <c r="S197" s="103"/>
      <c r="T197" s="103"/>
      <c r="U197" s="103"/>
      <c r="V197" s="99"/>
      <c r="W197" s="103"/>
      <c r="X197" s="103"/>
      <c r="Y197" s="106"/>
      <c r="Z197" s="106"/>
      <c r="AA197" s="106"/>
      <c r="AB197" s="106"/>
      <c r="AC197" s="106"/>
      <c r="AD197" s="106"/>
      <c r="AE197" s="106"/>
    </row>
    <row r="198" spans="2:31"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18"/>
      <c r="P198" s="103"/>
      <c r="Q198" s="99"/>
      <c r="R198" s="99"/>
      <c r="S198" s="99"/>
      <c r="T198" s="99"/>
      <c r="U198" s="103"/>
      <c r="V198" s="99"/>
      <c r="W198" s="103"/>
      <c r="X198" s="99"/>
      <c r="Y198" s="106"/>
      <c r="Z198" s="106"/>
      <c r="AA198" s="106"/>
      <c r="AB198" s="106"/>
      <c r="AC198" s="106"/>
      <c r="AD198" s="106"/>
      <c r="AE198" s="106"/>
    </row>
    <row r="199" spans="2:31"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18"/>
      <c r="P199" s="103"/>
      <c r="Q199" s="99"/>
      <c r="R199" s="99"/>
      <c r="S199" s="99"/>
      <c r="T199" s="99"/>
      <c r="U199" s="103"/>
      <c r="V199" s="99"/>
      <c r="W199" s="103"/>
      <c r="X199" s="99"/>
      <c r="Y199" s="106"/>
      <c r="Z199" s="106"/>
      <c r="AA199" s="106"/>
      <c r="AB199" s="106"/>
      <c r="AC199" s="106"/>
      <c r="AD199" s="106"/>
      <c r="AE199" s="106"/>
    </row>
    <row r="200" spans="2:31"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18"/>
      <c r="P200" s="118"/>
      <c r="Q200" s="99"/>
      <c r="R200" s="99"/>
      <c r="S200" s="99"/>
      <c r="T200" s="99"/>
      <c r="U200" s="103"/>
      <c r="V200" s="99"/>
      <c r="W200" s="99"/>
      <c r="X200" s="99"/>
      <c r="Y200" s="106"/>
      <c r="Z200" s="106"/>
      <c r="AA200" s="106"/>
      <c r="AB200" s="106"/>
      <c r="AC200" s="106"/>
      <c r="AD200" s="106"/>
      <c r="AE200" s="106"/>
    </row>
    <row r="201" spans="2:31"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18"/>
      <c r="P201" s="118"/>
      <c r="Q201" s="103"/>
      <c r="R201" s="103"/>
      <c r="S201" s="103"/>
      <c r="T201" s="103"/>
      <c r="U201" s="103"/>
      <c r="V201" s="99"/>
      <c r="W201" s="99"/>
      <c r="X201" s="99"/>
      <c r="Y201" s="106"/>
      <c r="Z201" s="106"/>
      <c r="AA201" s="106"/>
      <c r="AB201" s="106"/>
      <c r="AC201" s="106"/>
      <c r="AD201" s="106"/>
      <c r="AE201" s="106"/>
    </row>
    <row r="202" spans="2:31"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20"/>
      <c r="Q202" s="99"/>
      <c r="R202" s="99"/>
      <c r="S202" s="99"/>
      <c r="T202" s="99"/>
      <c r="U202" s="103"/>
      <c r="V202" s="120"/>
      <c r="W202" s="120"/>
      <c r="X202" s="120"/>
      <c r="Y202" s="106"/>
      <c r="Z202" s="106"/>
      <c r="AA202" s="106"/>
      <c r="AB202" s="106"/>
      <c r="AC202" s="106"/>
      <c r="AD202" s="106"/>
      <c r="AE202" s="106"/>
    </row>
    <row r="203" spans="2:31"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  <c r="AC203" s="106"/>
      <c r="AD203" s="106"/>
      <c r="AE203" s="106"/>
    </row>
    <row r="204" spans="2:31"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</row>
    <row r="205" spans="2:31"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06"/>
      <c r="AB205" s="106"/>
      <c r="AC205" s="106"/>
      <c r="AD205" s="106"/>
      <c r="AE205" s="106"/>
    </row>
    <row r="206" spans="2:31"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06"/>
      <c r="AB206" s="106"/>
      <c r="AC206" s="106"/>
      <c r="AD206" s="106"/>
      <c r="AE206" s="106"/>
    </row>
    <row r="207" spans="2:31"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106"/>
      <c r="AD207" s="106"/>
      <c r="AE207" s="106"/>
    </row>
  </sheetData>
  <mergeCells count="153">
    <mergeCell ref="AC58:AC59"/>
    <mergeCell ref="AD58:AD59"/>
    <mergeCell ref="E58:E59"/>
    <mergeCell ref="L58:T58"/>
    <mergeCell ref="U58:V58"/>
    <mergeCell ref="W58:Z58"/>
    <mergeCell ref="AA58:AB58"/>
    <mergeCell ref="U28:V28"/>
    <mergeCell ref="W28:Z28"/>
    <mergeCell ref="AA28:AB28"/>
    <mergeCell ref="AC28:AC29"/>
    <mergeCell ref="AD28:AD29"/>
    <mergeCell ref="U4:V4"/>
    <mergeCell ref="W4:Z4"/>
    <mergeCell ref="AA4:AB4"/>
    <mergeCell ref="AC4:AC5"/>
    <mergeCell ref="AD4:AD5"/>
    <mergeCell ref="B60:B78"/>
    <mergeCell ref="C60:C78"/>
    <mergeCell ref="N60:O60"/>
    <mergeCell ref="B4:B5"/>
    <mergeCell ref="C4:C5"/>
    <mergeCell ref="D4:D5"/>
    <mergeCell ref="E4:E5"/>
    <mergeCell ref="L4:T4"/>
    <mergeCell ref="B28:B29"/>
    <mergeCell ref="C28:C29"/>
    <mergeCell ref="D28:D29"/>
    <mergeCell ref="E28:E29"/>
    <mergeCell ref="L28:T28"/>
    <mergeCell ref="B58:B59"/>
    <mergeCell ref="C58:C59"/>
    <mergeCell ref="D58:D59"/>
    <mergeCell ref="B6:B26"/>
    <mergeCell ref="C6:C26"/>
    <mergeCell ref="B30:B56"/>
    <mergeCell ref="C30:C56"/>
    <mergeCell ref="N6:O6"/>
    <mergeCell ref="N7:O7"/>
    <mergeCell ref="N8:O8"/>
    <mergeCell ref="N10:O10"/>
    <mergeCell ref="N11:O11"/>
    <mergeCell ref="N13:O13"/>
    <mergeCell ref="N14:O14"/>
    <mergeCell ref="N17:O17"/>
    <mergeCell ref="N18:O18"/>
    <mergeCell ref="N19:O19"/>
    <mergeCell ref="N20:O20"/>
    <mergeCell ref="N21:O21"/>
    <mergeCell ref="N32:O32"/>
    <mergeCell ref="N33:O33"/>
    <mergeCell ref="N34:O34"/>
    <mergeCell ref="N45:O45"/>
    <mergeCell ref="N46:O46"/>
    <mergeCell ref="N61:O61"/>
    <mergeCell ref="N62:O62"/>
    <mergeCell ref="N63:O63"/>
    <mergeCell ref="N65:O65"/>
    <mergeCell ref="N30:O30"/>
    <mergeCell ref="N31:O31"/>
    <mergeCell ref="N66:O66"/>
    <mergeCell ref="N67:O67"/>
    <mergeCell ref="N68:O68"/>
    <mergeCell ref="N69:O69"/>
    <mergeCell ref="N70:O70"/>
    <mergeCell ref="N71:O71"/>
    <mergeCell ref="N72:O72"/>
    <mergeCell ref="N73:O73"/>
    <mergeCell ref="AA89:AB89"/>
    <mergeCell ref="B91:B115"/>
    <mergeCell ref="C91:C93"/>
    <mergeCell ref="N91:O91"/>
    <mergeCell ref="N92:O92"/>
    <mergeCell ref="N93:O93"/>
    <mergeCell ref="N105:O105"/>
    <mergeCell ref="N94:O94"/>
    <mergeCell ref="N95:O95"/>
    <mergeCell ref="N96:O96"/>
    <mergeCell ref="N97:O97"/>
    <mergeCell ref="N98:O98"/>
    <mergeCell ref="N99:O99"/>
    <mergeCell ref="B89:B90"/>
    <mergeCell ref="C89:C90"/>
    <mergeCell ref="D89:D90"/>
    <mergeCell ref="B144:B166"/>
    <mergeCell ref="N144:O144"/>
    <mergeCell ref="N145:O145"/>
    <mergeCell ref="N146:O146"/>
    <mergeCell ref="N147:O147"/>
    <mergeCell ref="N148:O148"/>
    <mergeCell ref="N155:O155"/>
    <mergeCell ref="N156:O156"/>
    <mergeCell ref="C144:C151"/>
    <mergeCell ref="C152:C161"/>
    <mergeCell ref="N149:O149"/>
    <mergeCell ref="N150:O150"/>
    <mergeCell ref="N151:O151"/>
    <mergeCell ref="E89:E90"/>
    <mergeCell ref="N107:O107"/>
    <mergeCell ref="AA168:AB168"/>
    <mergeCell ref="B170:B180"/>
    <mergeCell ref="C170:C177"/>
    <mergeCell ref="N170:O170"/>
    <mergeCell ref="N171:O171"/>
    <mergeCell ref="N172:O172"/>
    <mergeCell ref="N173:O173"/>
    <mergeCell ref="N174:O174"/>
    <mergeCell ref="N175:O175"/>
    <mergeCell ref="N176:O176"/>
    <mergeCell ref="N177:O177"/>
    <mergeCell ref="B168:B169"/>
    <mergeCell ref="C168:C169"/>
    <mergeCell ref="D168:D169"/>
    <mergeCell ref="E168:E169"/>
    <mergeCell ref="L168:T168"/>
    <mergeCell ref="N106:O106"/>
    <mergeCell ref="C94:C109"/>
    <mergeCell ref="U89:V89"/>
    <mergeCell ref="W89:Z89"/>
    <mergeCell ref="U168:V168"/>
    <mergeCell ref="W168:Z168"/>
    <mergeCell ref="N100:O100"/>
    <mergeCell ref="N101:O101"/>
    <mergeCell ref="N102:O102"/>
    <mergeCell ref="L89:T89"/>
    <mergeCell ref="N103:O103"/>
    <mergeCell ref="N104:O104"/>
    <mergeCell ref="N136:O136"/>
    <mergeCell ref="B117:B118"/>
    <mergeCell ref="C117:C118"/>
    <mergeCell ref="D117:D118"/>
    <mergeCell ref="E117:E118"/>
    <mergeCell ref="N128:O128"/>
    <mergeCell ref="N129:O129"/>
    <mergeCell ref="N130:O130"/>
    <mergeCell ref="N133:O133"/>
    <mergeCell ref="N134:O134"/>
    <mergeCell ref="L117:T117"/>
    <mergeCell ref="U117:V117"/>
    <mergeCell ref="W117:Z117"/>
    <mergeCell ref="AA117:AB117"/>
    <mergeCell ref="B119:B142"/>
    <mergeCell ref="C119:C121"/>
    <mergeCell ref="N119:O119"/>
    <mergeCell ref="N120:O120"/>
    <mergeCell ref="N121:O121"/>
    <mergeCell ref="C122:C137"/>
    <mergeCell ref="N122:O122"/>
    <mergeCell ref="N123:O123"/>
    <mergeCell ref="N124:O124"/>
    <mergeCell ref="N125:O125"/>
    <mergeCell ref="N126:O126"/>
    <mergeCell ref="N127:O127"/>
  </mergeCells>
  <phoneticPr fontId="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20"/>
  <sheetViews>
    <sheetView workbookViewId="0"/>
  </sheetViews>
  <sheetFormatPr baseColWidth="10" defaultColWidth="8.83203125" defaultRowHeight="14"/>
  <sheetData>
    <row r="2" spans="2:16">
      <c r="B2" s="7" t="s">
        <v>0</v>
      </c>
      <c r="C2" s="10" t="s">
        <v>1</v>
      </c>
      <c r="D2" s="10" t="s">
        <v>2</v>
      </c>
      <c r="E2" s="7" t="s">
        <v>3</v>
      </c>
      <c r="F2" s="22" t="s">
        <v>4</v>
      </c>
      <c r="G2" s="12" t="s">
        <v>5</v>
      </c>
      <c r="H2" s="8" t="s">
        <v>6</v>
      </c>
      <c r="I2" s="9" t="s">
        <v>7</v>
      </c>
      <c r="J2" s="8" t="s">
        <v>8</v>
      </c>
      <c r="K2" s="9" t="s">
        <v>9</v>
      </c>
      <c r="L2" s="11" t="s">
        <v>10</v>
      </c>
      <c r="M2" s="9" t="s">
        <v>11</v>
      </c>
      <c r="N2" s="11" t="s">
        <v>12</v>
      </c>
      <c r="O2" s="9" t="s">
        <v>13</v>
      </c>
      <c r="P2" s="11" t="s">
        <v>14</v>
      </c>
    </row>
    <row r="3" spans="2:16">
      <c r="B3" s="3">
        <v>2.6320000000000001</v>
      </c>
      <c r="C3" s="3">
        <v>2.6440000000000001</v>
      </c>
      <c r="D3" s="3">
        <v>2.6480000000000001</v>
      </c>
      <c r="E3" s="1">
        <v>2.64</v>
      </c>
      <c r="F3" s="3">
        <v>2.6440000000000001</v>
      </c>
      <c r="G3" s="3">
        <v>2.661</v>
      </c>
      <c r="H3" s="1">
        <v>2.641</v>
      </c>
      <c r="I3" s="3">
        <v>2.673</v>
      </c>
      <c r="J3" s="1">
        <v>2.63</v>
      </c>
      <c r="K3" s="1">
        <v>2.65</v>
      </c>
      <c r="L3" s="1">
        <v>2.645</v>
      </c>
      <c r="M3" s="1">
        <v>2.6709999999999998</v>
      </c>
      <c r="N3" s="1">
        <v>2.6309999999999998</v>
      </c>
      <c r="O3" s="1">
        <v>2.6840000000000002</v>
      </c>
      <c r="P3" s="1">
        <v>2.6419999999999999</v>
      </c>
    </row>
    <row r="4" spans="2:16">
      <c r="B4" s="3">
        <v>2.6240000000000001</v>
      </c>
      <c r="C4" s="1">
        <v>2.59</v>
      </c>
      <c r="D4" s="3">
        <v>2.661</v>
      </c>
      <c r="E4" s="3">
        <v>2.6629999999999998</v>
      </c>
      <c r="F4" s="2"/>
      <c r="G4" s="1">
        <v>2.6589999999999998</v>
      </c>
      <c r="H4" s="1">
        <v>2.6429999999999998</v>
      </c>
      <c r="I4" s="1">
        <v>2.6619999999999999</v>
      </c>
      <c r="J4" s="1">
        <v>2.6320000000000001</v>
      </c>
      <c r="K4" s="1">
        <v>2.6280000000000001</v>
      </c>
      <c r="L4" s="3">
        <v>2.6549999999999998</v>
      </c>
      <c r="M4" s="3">
        <v>2.6629999999999998</v>
      </c>
      <c r="N4" s="1">
        <v>2.6379999999999999</v>
      </c>
      <c r="O4" s="1">
        <v>2.6829999999999998</v>
      </c>
      <c r="P4" s="1">
        <v>2.6339999999999999</v>
      </c>
    </row>
    <row r="5" spans="2:16">
      <c r="B5" s="3">
        <v>2.6539999999999999</v>
      </c>
      <c r="C5" s="3">
        <v>2.6179999999999999</v>
      </c>
      <c r="D5" s="3">
        <v>2.6680000000000001</v>
      </c>
      <c r="E5" s="1">
        <v>2.67</v>
      </c>
      <c r="F5" s="2"/>
      <c r="G5" s="3">
        <v>2.6640000000000001</v>
      </c>
      <c r="H5" s="1">
        <v>2.6389999999999998</v>
      </c>
      <c r="I5" s="3">
        <v>2.6840000000000002</v>
      </c>
      <c r="J5" s="1">
        <v>2.6320000000000001</v>
      </c>
      <c r="K5" s="1">
        <v>2.66</v>
      </c>
      <c r="L5" s="1">
        <v>2.5659999999999998</v>
      </c>
      <c r="M5" s="1">
        <v>2.6850000000000001</v>
      </c>
      <c r="N5" s="3">
        <v>2.6749999999999998</v>
      </c>
      <c r="O5" s="1">
        <v>2.645</v>
      </c>
      <c r="P5" s="3">
        <v>2.6349999999999998</v>
      </c>
    </row>
    <row r="6" spans="2:16">
      <c r="B6" s="3">
        <v>2.6709999999999998</v>
      </c>
      <c r="C6" s="3">
        <v>2.6419999999999999</v>
      </c>
      <c r="D6" s="2"/>
      <c r="E6" s="3">
        <v>2.669</v>
      </c>
      <c r="F6" s="2"/>
      <c r="G6" s="2"/>
      <c r="H6" s="1">
        <v>2.6360000000000001</v>
      </c>
      <c r="I6" s="1">
        <v>2.694</v>
      </c>
      <c r="J6" s="1">
        <v>2.65</v>
      </c>
      <c r="K6" s="1">
        <v>2.6629999999999998</v>
      </c>
      <c r="L6" s="3">
        <v>2.653</v>
      </c>
      <c r="M6" s="1">
        <v>2.6760000000000002</v>
      </c>
      <c r="N6" s="3"/>
      <c r="O6" s="1">
        <v>2.6930000000000001</v>
      </c>
      <c r="P6" s="1">
        <v>2.6320000000000001</v>
      </c>
    </row>
    <row r="7" spans="2:16">
      <c r="B7" s="3">
        <v>2.6339999999999999</v>
      </c>
      <c r="C7" s="3">
        <v>2.645</v>
      </c>
      <c r="D7" s="2"/>
      <c r="E7" s="1">
        <v>2.6480000000000001</v>
      </c>
      <c r="F7" s="2"/>
      <c r="G7" s="2"/>
      <c r="H7" s="1">
        <v>2.6469999999999998</v>
      </c>
      <c r="I7" s="3">
        <v>2.6619999999999999</v>
      </c>
      <c r="J7" s="1">
        <v>2.6379999999999999</v>
      </c>
      <c r="K7" s="3">
        <v>2.6549999999999998</v>
      </c>
      <c r="L7" s="2"/>
      <c r="M7" s="1">
        <v>2.6749999999999998</v>
      </c>
      <c r="N7" s="1"/>
      <c r="O7" s="1">
        <v>2.665</v>
      </c>
      <c r="P7" s="1">
        <v>2.6269999999999998</v>
      </c>
    </row>
    <row r="8" spans="2:16">
      <c r="B8" s="3">
        <v>2.645</v>
      </c>
      <c r="C8" s="3">
        <v>2.6709999999999998</v>
      </c>
      <c r="D8" s="2"/>
      <c r="E8" s="3">
        <v>2.641</v>
      </c>
      <c r="F8" s="2"/>
      <c r="G8" s="2"/>
      <c r="H8" s="1">
        <v>2.6389999999999998</v>
      </c>
      <c r="I8" s="3">
        <v>2.6589999999999998</v>
      </c>
      <c r="J8" s="1">
        <v>2.641</v>
      </c>
      <c r="K8" s="1">
        <v>2.6459999999999999</v>
      </c>
      <c r="L8" s="2"/>
      <c r="M8" s="3">
        <v>2.6749999999999998</v>
      </c>
      <c r="N8" s="1"/>
      <c r="O8" s="1">
        <v>2.67</v>
      </c>
      <c r="P8" s="1">
        <v>2.6360000000000001</v>
      </c>
    </row>
    <row r="9" spans="2:16">
      <c r="B9" s="3">
        <v>2.6419999999999999</v>
      </c>
      <c r="C9" s="3">
        <v>2.6440000000000001</v>
      </c>
      <c r="D9" s="2"/>
      <c r="E9" s="2"/>
      <c r="F9" s="2"/>
      <c r="G9" s="2"/>
      <c r="H9" s="1">
        <v>2.6379999999999999</v>
      </c>
      <c r="I9" s="2"/>
      <c r="J9" s="1">
        <v>2.6320000000000001</v>
      </c>
      <c r="K9" s="1">
        <v>2.66</v>
      </c>
      <c r="L9" s="2"/>
      <c r="M9" s="3">
        <v>2.6459999999999999</v>
      </c>
      <c r="N9" s="1"/>
      <c r="O9" s="2"/>
      <c r="P9" s="3">
        <v>2.653</v>
      </c>
    </row>
    <row r="10" spans="2:16">
      <c r="B10" s="3">
        <v>2.637</v>
      </c>
      <c r="C10" s="1">
        <v>2.65</v>
      </c>
      <c r="D10" s="2"/>
      <c r="E10" s="2"/>
      <c r="F10" s="2"/>
      <c r="G10" s="2"/>
      <c r="H10" s="1">
        <v>2.6110000000000002</v>
      </c>
      <c r="I10" s="2"/>
      <c r="J10" s="1">
        <v>2.6339999999999999</v>
      </c>
      <c r="K10" s="3">
        <v>2.6760000000000002</v>
      </c>
      <c r="L10" s="2"/>
      <c r="M10" s="1">
        <v>2.7269999999999999</v>
      </c>
      <c r="N10" s="3"/>
      <c r="O10" s="2"/>
      <c r="P10" s="1">
        <v>2.6360000000000001</v>
      </c>
    </row>
    <row r="11" spans="2:16">
      <c r="B11" s="18"/>
      <c r="C11" s="3">
        <v>2.6360000000000001</v>
      </c>
      <c r="D11" s="2"/>
      <c r="E11" s="2"/>
      <c r="F11" s="2"/>
      <c r="G11" s="2"/>
      <c r="H11" s="1">
        <v>2.6349999999999998</v>
      </c>
      <c r="I11" s="2"/>
      <c r="J11" s="1">
        <v>2.649</v>
      </c>
      <c r="K11" s="1">
        <v>2.6949999999999998</v>
      </c>
      <c r="L11" s="2"/>
      <c r="M11" s="1">
        <v>2.6659999999999999</v>
      </c>
      <c r="N11" s="1"/>
      <c r="O11" s="2"/>
      <c r="P11" s="3">
        <v>2.653</v>
      </c>
    </row>
    <row r="12" spans="2:16">
      <c r="B12" s="18"/>
      <c r="C12" s="3">
        <v>2.6629999999999998</v>
      </c>
      <c r="D12" s="2"/>
      <c r="E12" s="2"/>
      <c r="F12" s="2"/>
      <c r="G12" s="2"/>
      <c r="H12" s="1">
        <v>2.6459999999999999</v>
      </c>
      <c r="I12" s="2"/>
      <c r="J12" s="1">
        <v>2.633</v>
      </c>
      <c r="K12" s="2"/>
      <c r="L12" s="2"/>
      <c r="M12" s="1">
        <v>2.6819999999999999</v>
      </c>
      <c r="N12" s="3"/>
      <c r="O12" s="2"/>
      <c r="P12" s="2"/>
    </row>
    <row r="13" spans="2:16">
      <c r="B13" s="19"/>
      <c r="C13" s="3">
        <v>2.6509999999999998</v>
      </c>
      <c r="D13" s="2"/>
      <c r="E13" s="2"/>
      <c r="F13" s="2"/>
      <c r="G13" s="2"/>
      <c r="H13" s="2"/>
      <c r="I13" s="2"/>
      <c r="J13" s="3">
        <v>2.6480000000000001</v>
      </c>
      <c r="K13" s="2"/>
      <c r="L13" s="2"/>
      <c r="M13" s="2"/>
      <c r="N13" s="2"/>
      <c r="O13" s="2"/>
      <c r="P13" s="2"/>
    </row>
    <row r="14" spans="2:16">
      <c r="B14" s="17"/>
      <c r="C14" s="3">
        <v>2.653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2:16">
      <c r="B15" s="2"/>
      <c r="C15" s="1">
        <v>2.65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2:16">
      <c r="B16" s="2"/>
      <c r="C16" s="3">
        <v>2.6320000000000001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B17" s="4"/>
      <c r="C17" s="6">
        <v>2.6179999999999999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16" t="s">
        <v>15</v>
      </c>
      <c r="B18" s="20">
        <f>MIN(B3:B15)</f>
        <v>2.6240000000000001</v>
      </c>
      <c r="C18" s="21">
        <f>MIN(C3:C17)</f>
        <v>2.59</v>
      </c>
      <c r="D18" s="21">
        <f t="shared" ref="D18:N18" si="0">MIN(D3:D15)</f>
        <v>2.6480000000000001</v>
      </c>
      <c r="E18" s="21">
        <f t="shared" si="0"/>
        <v>2.64</v>
      </c>
      <c r="F18" s="21">
        <f t="shared" si="0"/>
        <v>2.6440000000000001</v>
      </c>
      <c r="G18" s="21">
        <f t="shared" si="0"/>
        <v>2.6589999999999998</v>
      </c>
      <c r="H18" s="21">
        <f t="shared" si="0"/>
        <v>2.6110000000000002</v>
      </c>
      <c r="I18" s="21">
        <f t="shared" si="0"/>
        <v>2.6589999999999998</v>
      </c>
      <c r="J18" s="21">
        <f t="shared" si="0"/>
        <v>2.63</v>
      </c>
      <c r="K18" s="21">
        <f t="shared" si="0"/>
        <v>2.6280000000000001</v>
      </c>
      <c r="L18" s="21">
        <f t="shared" si="0"/>
        <v>2.5659999999999998</v>
      </c>
      <c r="M18" s="21">
        <f t="shared" si="0"/>
        <v>2.6459999999999999</v>
      </c>
      <c r="N18" s="21">
        <f t="shared" si="0"/>
        <v>2.6309999999999998</v>
      </c>
      <c r="O18" s="21">
        <f t="shared" ref="O18:P18" si="1">MIN(O3:O15)</f>
        <v>2.645</v>
      </c>
      <c r="P18" s="21">
        <f t="shared" si="1"/>
        <v>2.6269999999999998</v>
      </c>
    </row>
    <row r="19" spans="1:16">
      <c r="A19" s="16" t="s">
        <v>16</v>
      </c>
      <c r="B19" s="18">
        <f>MAX(B3:B15)</f>
        <v>2.6709999999999998</v>
      </c>
      <c r="C19" s="18">
        <f>MAX(C3:C17)</f>
        <v>2.6709999999999998</v>
      </c>
      <c r="D19" s="18">
        <f t="shared" ref="D19:N19" si="2">MAX(D3:D15)</f>
        <v>2.6680000000000001</v>
      </c>
      <c r="E19" s="19">
        <f t="shared" si="2"/>
        <v>2.67</v>
      </c>
      <c r="F19" s="19">
        <f t="shared" si="2"/>
        <v>2.6440000000000001</v>
      </c>
      <c r="G19" s="19">
        <f t="shared" si="2"/>
        <v>2.6640000000000001</v>
      </c>
      <c r="H19" s="19">
        <f t="shared" si="2"/>
        <v>2.6469999999999998</v>
      </c>
      <c r="I19" s="19">
        <f t="shared" si="2"/>
        <v>2.694</v>
      </c>
      <c r="J19" s="19">
        <f t="shared" si="2"/>
        <v>2.65</v>
      </c>
      <c r="K19" s="19">
        <f t="shared" si="2"/>
        <v>2.6949999999999998</v>
      </c>
      <c r="L19" s="19">
        <f t="shared" si="2"/>
        <v>2.6549999999999998</v>
      </c>
      <c r="M19" s="19">
        <f t="shared" si="2"/>
        <v>2.7269999999999999</v>
      </c>
      <c r="N19" s="19">
        <f t="shared" si="2"/>
        <v>2.6749999999999998</v>
      </c>
      <c r="O19" s="19">
        <f t="shared" ref="O19:P19" si="3">MAX(O3:O15)</f>
        <v>2.6930000000000001</v>
      </c>
      <c r="P19" s="19">
        <f t="shared" si="3"/>
        <v>2.653</v>
      </c>
    </row>
    <row r="20" spans="1:16">
      <c r="A20" s="16" t="s">
        <v>17</v>
      </c>
      <c r="B20" s="19">
        <f>AVERAGE(B3:B15)</f>
        <v>2.6423749999999999</v>
      </c>
      <c r="C20" s="19">
        <f>AVERAGE(C3:C17)</f>
        <v>2.6404666666666667</v>
      </c>
      <c r="D20" s="19">
        <f t="shared" ref="D20:N20" si="4">AVERAGE(D3:D15)</f>
        <v>2.6590000000000003</v>
      </c>
      <c r="E20" s="19">
        <f t="shared" si="4"/>
        <v>2.6551666666666667</v>
      </c>
      <c r="F20" s="19">
        <f t="shared" si="4"/>
        <v>2.6440000000000001</v>
      </c>
      <c r="G20" s="19">
        <f t="shared" si="4"/>
        <v>2.6613333333333333</v>
      </c>
      <c r="H20" s="19">
        <f t="shared" si="4"/>
        <v>2.6375000000000002</v>
      </c>
      <c r="I20" s="19">
        <f t="shared" si="4"/>
        <v>2.672333333333333</v>
      </c>
      <c r="J20" s="19">
        <f t="shared" si="4"/>
        <v>2.6380909090909093</v>
      </c>
      <c r="K20" s="19">
        <f t="shared" si="4"/>
        <v>2.6592222222222222</v>
      </c>
      <c r="L20" s="19">
        <f t="shared" si="4"/>
        <v>2.62975</v>
      </c>
      <c r="M20" s="19">
        <f t="shared" si="4"/>
        <v>2.6766000000000001</v>
      </c>
      <c r="N20" s="19">
        <f t="shared" si="4"/>
        <v>2.6480000000000001</v>
      </c>
      <c r="O20" s="19">
        <f t="shared" ref="O20:P20" si="5">AVERAGE(O3:O15)</f>
        <v>2.6733333333333333</v>
      </c>
      <c r="P20" s="19">
        <f t="shared" si="5"/>
        <v>2.638666666666666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20"/>
  <sheetViews>
    <sheetView workbookViewId="0"/>
  </sheetViews>
  <sheetFormatPr baseColWidth="10" defaultColWidth="8.83203125" defaultRowHeight="14"/>
  <sheetData>
    <row r="2" spans="2:16">
      <c r="B2" s="23" t="s">
        <v>0</v>
      </c>
      <c r="C2" s="10" t="s">
        <v>1</v>
      </c>
      <c r="D2" s="10" t="s">
        <v>2</v>
      </c>
      <c r="E2" s="7" t="s">
        <v>3</v>
      </c>
      <c r="F2" s="22" t="s">
        <v>4</v>
      </c>
      <c r="G2" s="12" t="s">
        <v>5</v>
      </c>
      <c r="H2" s="8" t="s">
        <v>6</v>
      </c>
      <c r="I2" s="9" t="s">
        <v>7</v>
      </c>
      <c r="J2" s="8" t="s">
        <v>8</v>
      </c>
      <c r="K2" s="9" t="s">
        <v>9</v>
      </c>
      <c r="L2" s="11" t="s">
        <v>10</v>
      </c>
      <c r="M2" s="9" t="s">
        <v>11</v>
      </c>
      <c r="N2" s="11" t="s">
        <v>12</v>
      </c>
      <c r="O2" s="9" t="s">
        <v>13</v>
      </c>
      <c r="P2" s="11" t="s">
        <v>14</v>
      </c>
    </row>
    <row r="3" spans="2:16">
      <c r="B3" s="3">
        <v>38.200000000000003</v>
      </c>
      <c r="C3" s="5">
        <v>75.900000000000006</v>
      </c>
      <c r="D3" s="5">
        <v>39.700000000000003</v>
      </c>
      <c r="E3" s="3">
        <v>16.399999999999999</v>
      </c>
      <c r="F3" s="3">
        <v>18.600000000000001</v>
      </c>
      <c r="G3" s="3">
        <v>38.799999999999997</v>
      </c>
      <c r="H3" s="3">
        <v>12.8</v>
      </c>
      <c r="I3" s="5">
        <v>64.900000000000006</v>
      </c>
      <c r="J3" s="3">
        <v>10.4</v>
      </c>
      <c r="K3" s="5">
        <v>67.599999999999994</v>
      </c>
      <c r="L3" s="3">
        <v>22.4</v>
      </c>
      <c r="M3" s="5">
        <v>38.5</v>
      </c>
      <c r="N3" s="3">
        <v>14.9</v>
      </c>
      <c r="O3" s="3">
        <v>40.5</v>
      </c>
      <c r="P3" s="5">
        <v>17.399999999999999</v>
      </c>
    </row>
    <row r="4" spans="2:16">
      <c r="B4" s="3">
        <v>37.1</v>
      </c>
      <c r="C4" s="3">
        <v>54.3</v>
      </c>
      <c r="D4" s="5">
        <v>39</v>
      </c>
      <c r="E4" s="3">
        <v>22.3</v>
      </c>
      <c r="F4" s="2"/>
      <c r="G4" s="3">
        <v>48</v>
      </c>
      <c r="H4" s="3">
        <v>8.6</v>
      </c>
      <c r="I4" s="5">
        <v>60.6</v>
      </c>
      <c r="J4" s="3">
        <v>17.8</v>
      </c>
      <c r="K4" s="5">
        <v>68.400000000000006</v>
      </c>
      <c r="L4" s="3">
        <v>26.2</v>
      </c>
      <c r="M4" s="5">
        <v>43.9</v>
      </c>
      <c r="N4" s="5">
        <v>15.6</v>
      </c>
      <c r="O4" s="3">
        <v>44.8</v>
      </c>
      <c r="P4" s="5">
        <v>16.2</v>
      </c>
    </row>
    <row r="5" spans="2:16">
      <c r="B5" s="3">
        <v>26.3</v>
      </c>
      <c r="C5" s="3">
        <v>84.1</v>
      </c>
      <c r="D5" s="5">
        <v>45.7</v>
      </c>
      <c r="E5" s="5">
        <v>21.2</v>
      </c>
      <c r="F5" s="2"/>
      <c r="G5" s="5">
        <v>31.8</v>
      </c>
      <c r="H5" s="3">
        <v>10.5</v>
      </c>
      <c r="I5" s="3">
        <v>53.6</v>
      </c>
      <c r="J5" s="3">
        <v>9.3000000000000007</v>
      </c>
      <c r="K5" s="3">
        <v>70</v>
      </c>
      <c r="L5" s="5">
        <v>18.5</v>
      </c>
      <c r="M5" s="3">
        <v>42.4</v>
      </c>
      <c r="N5" s="5">
        <v>25.5</v>
      </c>
      <c r="O5" s="3">
        <v>40.6</v>
      </c>
      <c r="P5" s="5">
        <v>25.8</v>
      </c>
    </row>
    <row r="6" spans="2:16">
      <c r="B6" s="3">
        <v>23.4</v>
      </c>
      <c r="C6" s="3">
        <v>55.1</v>
      </c>
      <c r="D6" s="2"/>
      <c r="E6" s="3">
        <v>21.9</v>
      </c>
      <c r="F6" s="2"/>
      <c r="G6" s="2"/>
      <c r="H6" s="3">
        <v>13.4</v>
      </c>
      <c r="I6" s="3">
        <v>35.200000000000003</v>
      </c>
      <c r="J6" s="3">
        <v>18.8</v>
      </c>
      <c r="K6" s="3">
        <v>60.8</v>
      </c>
      <c r="L6" s="5">
        <v>26</v>
      </c>
      <c r="M6" s="5">
        <v>42.1</v>
      </c>
      <c r="N6" s="5"/>
      <c r="O6" s="3">
        <v>39.9</v>
      </c>
      <c r="P6" s="5">
        <v>17</v>
      </c>
    </row>
    <row r="7" spans="2:16">
      <c r="B7" s="3">
        <v>25.4</v>
      </c>
      <c r="C7" s="3">
        <v>67.900000000000006</v>
      </c>
      <c r="D7" s="2"/>
      <c r="E7" s="3">
        <v>33.5</v>
      </c>
      <c r="F7" s="2"/>
      <c r="G7" s="2"/>
      <c r="H7" s="3">
        <v>9.3000000000000007</v>
      </c>
      <c r="I7" s="3">
        <v>37.700000000000003</v>
      </c>
      <c r="J7" s="3">
        <v>11.2</v>
      </c>
      <c r="K7" s="5">
        <v>65.099999999999994</v>
      </c>
      <c r="L7" s="2"/>
      <c r="M7" s="5">
        <v>43.9</v>
      </c>
      <c r="N7" s="1"/>
      <c r="O7" s="3">
        <v>28.9</v>
      </c>
      <c r="P7" s="5">
        <v>11.9</v>
      </c>
    </row>
    <row r="8" spans="2:16">
      <c r="B8" s="3">
        <v>27.8</v>
      </c>
      <c r="C8" s="5">
        <v>60.8</v>
      </c>
      <c r="D8" s="2"/>
      <c r="E8" s="3">
        <v>29.2</v>
      </c>
      <c r="F8" s="2"/>
      <c r="G8" s="2"/>
      <c r="H8" s="5">
        <v>10</v>
      </c>
      <c r="I8" s="5">
        <v>41.7</v>
      </c>
      <c r="J8" s="5">
        <v>9.6</v>
      </c>
      <c r="K8" s="3">
        <v>63</v>
      </c>
      <c r="L8" s="2"/>
      <c r="M8" s="3">
        <v>54.9</v>
      </c>
      <c r="N8" s="1"/>
      <c r="O8" s="3">
        <v>34.4</v>
      </c>
      <c r="P8" s="5">
        <v>17.600000000000001</v>
      </c>
    </row>
    <row r="9" spans="2:16">
      <c r="B9" s="3">
        <v>21.6</v>
      </c>
      <c r="C9" s="5">
        <v>48.7</v>
      </c>
      <c r="D9" s="2"/>
      <c r="E9" s="2">
        <v>32.1</v>
      </c>
      <c r="F9" s="2"/>
      <c r="G9" s="2"/>
      <c r="H9" s="5">
        <v>10.6</v>
      </c>
      <c r="I9" s="3">
        <v>45</v>
      </c>
      <c r="J9" s="5">
        <v>8.1999999999999993</v>
      </c>
      <c r="K9" s="3">
        <v>52.7</v>
      </c>
      <c r="L9" s="2"/>
      <c r="M9" s="3">
        <v>41.8</v>
      </c>
      <c r="N9" s="1"/>
      <c r="O9" s="3">
        <v>27.6</v>
      </c>
      <c r="P9" s="3">
        <v>18.600000000000001</v>
      </c>
    </row>
    <row r="10" spans="2:16">
      <c r="B10" s="3">
        <v>43.4</v>
      </c>
      <c r="C10" s="3">
        <v>41.3</v>
      </c>
      <c r="D10" s="2"/>
      <c r="E10" s="2"/>
      <c r="F10" s="2"/>
      <c r="G10" s="2"/>
      <c r="H10" s="5">
        <v>23.2</v>
      </c>
      <c r="I10" s="3"/>
      <c r="J10" s="5">
        <v>8.6999999999999993</v>
      </c>
      <c r="K10" s="5"/>
      <c r="L10" s="2"/>
      <c r="M10" s="3">
        <v>30.9</v>
      </c>
      <c r="N10" s="3"/>
      <c r="O10" s="3"/>
      <c r="P10" s="5">
        <v>16.2</v>
      </c>
    </row>
    <row r="11" spans="2:16">
      <c r="B11" s="18"/>
      <c r="C11" s="5">
        <v>42.1</v>
      </c>
      <c r="D11" s="2"/>
      <c r="E11" s="2"/>
      <c r="F11" s="2"/>
      <c r="G11" s="2"/>
      <c r="H11" s="5">
        <v>9.4</v>
      </c>
      <c r="I11" s="5"/>
      <c r="J11" s="5">
        <v>7.8</v>
      </c>
      <c r="K11" s="3"/>
      <c r="L11" s="2"/>
      <c r="M11" s="3">
        <v>36.299999999999997</v>
      </c>
      <c r="N11" s="1"/>
      <c r="O11" s="3"/>
      <c r="P11" s="3"/>
    </row>
    <row r="12" spans="2:16">
      <c r="B12" s="18"/>
      <c r="C12" s="5">
        <v>61.2</v>
      </c>
      <c r="D12" s="2"/>
      <c r="E12" s="2"/>
      <c r="F12" s="2"/>
      <c r="G12" s="2"/>
      <c r="H12" s="5">
        <v>8.3000000000000007</v>
      </c>
      <c r="I12" s="2"/>
      <c r="J12" s="5">
        <v>10.6</v>
      </c>
      <c r="K12" s="3"/>
      <c r="L12" s="2"/>
      <c r="M12" s="3"/>
      <c r="N12" s="3"/>
      <c r="O12" s="2"/>
      <c r="P12" s="2"/>
    </row>
    <row r="13" spans="2:16">
      <c r="B13" s="19"/>
      <c r="C13" s="5">
        <v>45.4</v>
      </c>
      <c r="D13" s="2"/>
      <c r="E13" s="2"/>
      <c r="F13" s="2"/>
      <c r="G13" s="2"/>
      <c r="H13" s="2"/>
      <c r="I13" s="2"/>
      <c r="J13" s="3">
        <v>12.8</v>
      </c>
      <c r="K13" s="5"/>
      <c r="L13" s="2"/>
      <c r="M13" s="2"/>
      <c r="N13" s="2"/>
      <c r="O13" s="2"/>
      <c r="P13" s="2"/>
    </row>
    <row r="14" spans="2:16">
      <c r="B14" s="17"/>
      <c r="C14" s="5">
        <v>61.7</v>
      </c>
      <c r="D14" s="2"/>
      <c r="E14" s="2"/>
      <c r="F14" s="2"/>
      <c r="G14" s="2"/>
      <c r="H14" s="2"/>
      <c r="I14" s="2"/>
      <c r="J14" s="5"/>
      <c r="K14" s="3"/>
      <c r="L14" s="2"/>
      <c r="M14" s="2"/>
      <c r="N14" s="2"/>
      <c r="O14" s="2"/>
      <c r="P14" s="2"/>
    </row>
    <row r="15" spans="2:16">
      <c r="B15" s="17"/>
      <c r="C15" s="5">
        <v>45.6</v>
      </c>
      <c r="D15" s="2"/>
      <c r="E15" s="2"/>
      <c r="F15" s="2"/>
      <c r="G15" s="2"/>
      <c r="H15" s="2"/>
      <c r="I15" s="2"/>
      <c r="J15" s="5"/>
      <c r="K15" s="2"/>
      <c r="L15" s="2"/>
      <c r="M15" s="2"/>
      <c r="N15" s="2"/>
      <c r="O15" s="2"/>
      <c r="P15" s="2"/>
    </row>
    <row r="16" spans="2:16">
      <c r="B16" s="2"/>
      <c r="C16" s="5">
        <v>40.200000000000003</v>
      </c>
      <c r="D16" s="2"/>
      <c r="E16" s="2"/>
      <c r="F16" s="2"/>
      <c r="G16" s="2"/>
      <c r="H16" s="2"/>
      <c r="I16" s="2"/>
      <c r="J16" s="3"/>
      <c r="K16" s="2"/>
      <c r="L16" s="2"/>
      <c r="M16" s="2"/>
      <c r="N16" s="2"/>
      <c r="O16" s="2"/>
      <c r="P16" s="2"/>
    </row>
    <row r="17" spans="1:16">
      <c r="B17" s="4"/>
      <c r="C17" s="6">
        <v>35.799999999999997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16" t="s">
        <v>15</v>
      </c>
      <c r="B18" s="24">
        <f>MIN(B3:B16)</f>
        <v>21.6</v>
      </c>
      <c r="C18" s="24">
        <f>MIN(C3:C17)</f>
        <v>35.799999999999997</v>
      </c>
      <c r="D18" s="24">
        <f t="shared" ref="D18:N18" si="0">MIN(D3:D16)</f>
        <v>39</v>
      </c>
      <c r="E18" s="24">
        <f t="shared" si="0"/>
        <v>16.399999999999999</v>
      </c>
      <c r="F18" s="24">
        <f t="shared" si="0"/>
        <v>18.600000000000001</v>
      </c>
      <c r="G18" s="24">
        <f t="shared" si="0"/>
        <v>31.8</v>
      </c>
      <c r="H18" s="24">
        <f t="shared" si="0"/>
        <v>8.3000000000000007</v>
      </c>
      <c r="I18" s="24">
        <f t="shared" si="0"/>
        <v>35.200000000000003</v>
      </c>
      <c r="J18" s="24">
        <f t="shared" si="0"/>
        <v>7.8</v>
      </c>
      <c r="K18" s="24">
        <f t="shared" si="0"/>
        <v>52.7</v>
      </c>
      <c r="L18" s="24">
        <f t="shared" si="0"/>
        <v>18.5</v>
      </c>
      <c r="M18" s="24">
        <f t="shared" si="0"/>
        <v>30.9</v>
      </c>
      <c r="N18" s="24">
        <f t="shared" si="0"/>
        <v>14.9</v>
      </c>
      <c r="O18" s="24">
        <f t="shared" ref="O18:P18" si="1">MIN(O3:O16)</f>
        <v>27.6</v>
      </c>
      <c r="P18" s="24">
        <f t="shared" si="1"/>
        <v>11.9</v>
      </c>
    </row>
    <row r="19" spans="1:16">
      <c r="A19" s="16" t="s">
        <v>16</v>
      </c>
      <c r="B19" s="25">
        <f>MAX(B3:B16)</f>
        <v>43.4</v>
      </c>
      <c r="C19" s="25">
        <f>MAX(C3:C17)</f>
        <v>84.1</v>
      </c>
      <c r="D19" s="25">
        <f t="shared" ref="D19:N19" si="2">MAX(D3:D16)</f>
        <v>45.7</v>
      </c>
      <c r="E19" s="25">
        <f t="shared" si="2"/>
        <v>33.5</v>
      </c>
      <c r="F19" s="25">
        <f t="shared" si="2"/>
        <v>18.600000000000001</v>
      </c>
      <c r="G19" s="25">
        <f t="shared" si="2"/>
        <v>48</v>
      </c>
      <c r="H19" s="25">
        <f t="shared" si="2"/>
        <v>23.2</v>
      </c>
      <c r="I19" s="25">
        <f t="shared" si="2"/>
        <v>64.900000000000006</v>
      </c>
      <c r="J19" s="25">
        <f t="shared" si="2"/>
        <v>18.8</v>
      </c>
      <c r="K19" s="25">
        <f t="shared" si="2"/>
        <v>70</v>
      </c>
      <c r="L19" s="25">
        <f t="shared" si="2"/>
        <v>26.2</v>
      </c>
      <c r="M19" s="25">
        <f t="shared" si="2"/>
        <v>54.9</v>
      </c>
      <c r="N19" s="25">
        <f t="shared" si="2"/>
        <v>25.5</v>
      </c>
      <c r="O19" s="25">
        <f t="shared" ref="O19:P19" si="3">MAX(O3:O16)</f>
        <v>44.8</v>
      </c>
      <c r="P19" s="25">
        <f t="shared" si="3"/>
        <v>25.8</v>
      </c>
    </row>
    <row r="20" spans="1:16">
      <c r="A20" s="16" t="s">
        <v>17</v>
      </c>
      <c r="B20" s="25">
        <f>AVERAGE(B3:B16)</f>
        <v>30.400000000000002</v>
      </c>
      <c r="C20" s="25">
        <f>AVERAGE(C3:C17)</f>
        <v>54.673333333333332</v>
      </c>
      <c r="D20" s="25">
        <f t="shared" ref="D20:N20" si="4">AVERAGE(D3:D16)</f>
        <v>41.466666666666669</v>
      </c>
      <c r="E20" s="25">
        <f t="shared" si="4"/>
        <v>25.228571428571428</v>
      </c>
      <c r="F20" s="25">
        <f t="shared" si="4"/>
        <v>18.600000000000001</v>
      </c>
      <c r="G20" s="25">
        <f t="shared" si="4"/>
        <v>39.533333333333331</v>
      </c>
      <c r="H20" s="25">
        <f t="shared" si="4"/>
        <v>11.61</v>
      </c>
      <c r="I20" s="25">
        <f t="shared" si="4"/>
        <v>48.385714285714286</v>
      </c>
      <c r="J20" s="25">
        <f t="shared" si="4"/>
        <v>11.381818181818181</v>
      </c>
      <c r="K20" s="25">
        <f t="shared" si="4"/>
        <v>63.942857142857136</v>
      </c>
      <c r="L20" s="25">
        <f t="shared" si="4"/>
        <v>23.274999999999999</v>
      </c>
      <c r="M20" s="25">
        <f t="shared" si="4"/>
        <v>41.633333333333333</v>
      </c>
      <c r="N20" s="25">
        <f t="shared" si="4"/>
        <v>18.666666666666668</v>
      </c>
      <c r="O20" s="25">
        <f t="shared" ref="O20:P20" si="5">AVERAGE(O3:O16)</f>
        <v>36.671428571428578</v>
      </c>
      <c r="P20" s="25">
        <f t="shared" si="5"/>
        <v>17.587499999999999</v>
      </c>
    </row>
  </sheetData>
  <phoneticPr fontId="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5"/>
  <sheetViews>
    <sheetView workbookViewId="0"/>
  </sheetViews>
  <sheetFormatPr baseColWidth="10" defaultColWidth="8.83203125" defaultRowHeight="14"/>
  <sheetData>
    <row r="2" spans="2:16">
      <c r="B2" s="23" t="s">
        <v>0</v>
      </c>
      <c r="C2" s="26" t="s">
        <v>1</v>
      </c>
      <c r="D2" s="26" t="s">
        <v>2</v>
      </c>
      <c r="E2" s="23" t="s">
        <v>3</v>
      </c>
      <c r="F2" s="27" t="s">
        <v>4</v>
      </c>
      <c r="G2" s="28" t="s">
        <v>5</v>
      </c>
      <c r="H2" s="29" t="s">
        <v>6</v>
      </c>
      <c r="I2" s="13" t="s">
        <v>7</v>
      </c>
      <c r="J2" s="29" t="s">
        <v>8</v>
      </c>
      <c r="K2" s="13" t="s">
        <v>9</v>
      </c>
      <c r="L2" s="14" t="s">
        <v>10</v>
      </c>
      <c r="M2" s="13" t="s">
        <v>11</v>
      </c>
      <c r="N2" s="14" t="s">
        <v>12</v>
      </c>
      <c r="O2" s="13" t="s">
        <v>13</v>
      </c>
      <c r="P2" s="14" t="s">
        <v>14</v>
      </c>
    </row>
    <row r="3" spans="2:16" ht="24">
      <c r="B3" s="30" t="s">
        <v>18</v>
      </c>
      <c r="C3" s="30" t="s">
        <v>19</v>
      </c>
      <c r="D3" s="30" t="s">
        <v>20</v>
      </c>
      <c r="E3" s="30" t="s">
        <v>21</v>
      </c>
      <c r="F3" s="30" t="s">
        <v>18</v>
      </c>
      <c r="G3" s="30" t="s">
        <v>22</v>
      </c>
      <c r="H3" s="30" t="s">
        <v>23</v>
      </c>
      <c r="I3" s="30" t="s">
        <v>24</v>
      </c>
      <c r="J3" s="30" t="s">
        <v>23</v>
      </c>
      <c r="K3" s="30" t="s">
        <v>19</v>
      </c>
      <c r="L3" s="30" t="s">
        <v>25</v>
      </c>
      <c r="M3" s="30" t="s">
        <v>26</v>
      </c>
      <c r="N3" s="30" t="s">
        <v>27</v>
      </c>
      <c r="O3" s="30" t="s">
        <v>19</v>
      </c>
      <c r="P3" s="30" t="s">
        <v>28</v>
      </c>
    </row>
    <row r="4" spans="2:16" ht="24">
      <c r="B4" s="30" t="s">
        <v>18</v>
      </c>
      <c r="C4" s="30" t="s">
        <v>29</v>
      </c>
      <c r="D4" s="30" t="s">
        <v>22</v>
      </c>
      <c r="E4" s="30" t="s">
        <v>18</v>
      </c>
      <c r="F4" s="2"/>
      <c r="G4" s="30" t="s">
        <v>19</v>
      </c>
      <c r="H4" s="30" t="s">
        <v>23</v>
      </c>
      <c r="I4" s="30" t="s">
        <v>19</v>
      </c>
      <c r="J4" s="30" t="s">
        <v>28</v>
      </c>
      <c r="K4" s="30" t="s">
        <v>19</v>
      </c>
      <c r="L4" s="30" t="s">
        <v>18</v>
      </c>
      <c r="M4" s="30" t="s">
        <v>24</v>
      </c>
      <c r="N4" s="30" t="s">
        <v>25</v>
      </c>
      <c r="O4" s="30" t="s">
        <v>19</v>
      </c>
      <c r="P4" s="30" t="s">
        <v>18</v>
      </c>
    </row>
    <row r="5" spans="2:16" ht="24">
      <c r="B5" s="30" t="s">
        <v>18</v>
      </c>
      <c r="C5" s="30" t="s">
        <v>19</v>
      </c>
      <c r="D5" s="30" t="s">
        <v>20</v>
      </c>
      <c r="E5" s="30" t="s">
        <v>18</v>
      </c>
      <c r="F5" s="2"/>
      <c r="G5" s="30" t="s">
        <v>20</v>
      </c>
      <c r="H5" s="30" t="s">
        <v>23</v>
      </c>
      <c r="I5" s="30" t="s">
        <v>19</v>
      </c>
      <c r="J5" s="30" t="s">
        <v>23</v>
      </c>
      <c r="K5" s="30" t="s">
        <v>19</v>
      </c>
      <c r="L5" s="30" t="s">
        <v>23</v>
      </c>
      <c r="M5" s="30" t="s">
        <v>30</v>
      </c>
      <c r="N5" s="30" t="s">
        <v>18</v>
      </c>
      <c r="O5" s="30" t="s">
        <v>19</v>
      </c>
      <c r="P5" s="30" t="s">
        <v>27</v>
      </c>
    </row>
    <row r="6" spans="2:16" ht="24">
      <c r="B6" s="30" t="s">
        <v>18</v>
      </c>
      <c r="C6" s="30" t="s">
        <v>22</v>
      </c>
      <c r="D6" s="2"/>
      <c r="E6" s="30" t="s">
        <v>18</v>
      </c>
      <c r="F6" s="2"/>
      <c r="G6" s="2"/>
      <c r="H6" s="30" t="s">
        <v>23</v>
      </c>
      <c r="I6" s="30" t="s">
        <v>29</v>
      </c>
      <c r="J6" s="30" t="s">
        <v>28</v>
      </c>
      <c r="K6" s="30" t="s">
        <v>29</v>
      </c>
      <c r="L6" s="30" t="s">
        <v>18</v>
      </c>
      <c r="M6" s="30" t="s">
        <v>29</v>
      </c>
      <c r="N6" s="3"/>
      <c r="O6" s="30" t="s">
        <v>31</v>
      </c>
      <c r="P6" s="30" t="s">
        <v>18</v>
      </c>
    </row>
    <row r="7" spans="2:16" ht="24">
      <c r="B7" s="30" t="s">
        <v>18</v>
      </c>
      <c r="C7" s="30" t="s">
        <v>30</v>
      </c>
      <c r="D7" s="2"/>
      <c r="E7" s="30" t="s">
        <v>18</v>
      </c>
      <c r="F7" s="2"/>
      <c r="G7" s="2"/>
      <c r="H7" s="30" t="s">
        <v>25</v>
      </c>
      <c r="I7" s="30" t="s">
        <v>18</v>
      </c>
      <c r="J7" s="30" t="s">
        <v>23</v>
      </c>
      <c r="K7" s="30" t="s">
        <v>30</v>
      </c>
      <c r="L7" s="2"/>
      <c r="M7" s="30" t="s">
        <v>30</v>
      </c>
      <c r="N7" s="1"/>
      <c r="O7" s="30" t="s">
        <v>30</v>
      </c>
      <c r="P7" s="30" t="s">
        <v>28</v>
      </c>
    </row>
    <row r="8" spans="2:16" ht="24">
      <c r="B8" s="30" t="s">
        <v>18</v>
      </c>
      <c r="C8" s="30" t="s">
        <v>30</v>
      </c>
      <c r="D8" s="2"/>
      <c r="E8" s="30" t="s">
        <v>25</v>
      </c>
      <c r="F8" s="2"/>
      <c r="G8" s="2"/>
      <c r="H8" s="30" t="s">
        <v>23</v>
      </c>
      <c r="I8" s="30" t="s">
        <v>20</v>
      </c>
      <c r="J8" s="30" t="s">
        <v>32</v>
      </c>
      <c r="K8" s="30" t="s">
        <v>19</v>
      </c>
      <c r="L8" s="2"/>
      <c r="M8" s="30" t="s">
        <v>30</v>
      </c>
      <c r="N8" s="1"/>
      <c r="O8" s="30" t="s">
        <v>33</v>
      </c>
      <c r="P8" s="30" t="s">
        <v>23</v>
      </c>
    </row>
    <row r="9" spans="2:16" ht="24">
      <c r="B9" s="30" t="s">
        <v>28</v>
      </c>
      <c r="C9" s="30" t="s">
        <v>20</v>
      </c>
      <c r="D9" s="2"/>
      <c r="E9" s="30" t="s">
        <v>18</v>
      </c>
      <c r="F9" s="2"/>
      <c r="G9" s="2"/>
      <c r="H9" s="30" t="s">
        <v>32</v>
      </c>
      <c r="I9" s="2"/>
      <c r="J9" s="30" t="s">
        <v>23</v>
      </c>
      <c r="K9" s="30" t="s">
        <v>29</v>
      </c>
      <c r="L9" s="2"/>
      <c r="M9" s="30" t="s">
        <v>19</v>
      </c>
      <c r="N9" s="1"/>
      <c r="O9" s="2"/>
      <c r="P9" s="3"/>
    </row>
    <row r="10" spans="2:16" ht="24">
      <c r="B10" s="30" t="s">
        <v>18</v>
      </c>
      <c r="C10" s="30" t="s">
        <v>29</v>
      </c>
      <c r="D10" s="2"/>
      <c r="E10" s="2"/>
      <c r="F10" s="2"/>
      <c r="G10" s="2"/>
      <c r="H10" s="30" t="s">
        <v>27</v>
      </c>
      <c r="I10" s="2"/>
      <c r="J10" s="30" t="s">
        <v>23</v>
      </c>
      <c r="K10" s="30" t="s">
        <v>30</v>
      </c>
      <c r="L10" s="2"/>
      <c r="M10" s="30" t="s">
        <v>29</v>
      </c>
      <c r="N10" s="3"/>
      <c r="O10" s="2"/>
      <c r="P10" s="1"/>
    </row>
    <row r="11" spans="2:16" ht="24">
      <c r="B11" s="18"/>
      <c r="C11" s="30" t="s">
        <v>20</v>
      </c>
      <c r="D11" s="2"/>
      <c r="E11" s="2"/>
      <c r="F11" s="2"/>
      <c r="G11" s="2"/>
      <c r="H11" s="30" t="s">
        <v>32</v>
      </c>
      <c r="I11" s="2"/>
      <c r="J11" s="30" t="s">
        <v>23</v>
      </c>
      <c r="K11" s="30" t="s">
        <v>19</v>
      </c>
      <c r="L11" s="2"/>
      <c r="M11" s="30" t="s">
        <v>24</v>
      </c>
      <c r="N11" s="1"/>
      <c r="O11" s="2"/>
      <c r="P11" s="3"/>
    </row>
    <row r="12" spans="2:16" ht="24">
      <c r="B12" s="18"/>
      <c r="C12" s="30" t="s">
        <v>30</v>
      </c>
      <c r="D12" s="2"/>
      <c r="E12" s="2"/>
      <c r="F12" s="2"/>
      <c r="G12" s="2"/>
      <c r="H12" s="1"/>
      <c r="I12" s="2"/>
      <c r="J12" s="30" t="s">
        <v>23</v>
      </c>
      <c r="K12" s="2"/>
      <c r="L12" s="2"/>
      <c r="M12" s="1"/>
      <c r="N12" s="3"/>
      <c r="O12" s="2"/>
      <c r="P12" s="2"/>
    </row>
    <row r="13" spans="2:16" ht="24">
      <c r="B13" s="19"/>
      <c r="C13" s="30" t="s">
        <v>20</v>
      </c>
      <c r="D13" s="2"/>
      <c r="E13" s="2"/>
      <c r="F13" s="2"/>
      <c r="G13" s="2"/>
      <c r="H13" s="2"/>
      <c r="I13" s="2"/>
      <c r="J13" s="30" t="s">
        <v>27</v>
      </c>
      <c r="K13" s="2"/>
      <c r="L13" s="2"/>
      <c r="M13" s="2"/>
      <c r="N13" s="2"/>
      <c r="O13" s="2"/>
      <c r="P13" s="2"/>
    </row>
    <row r="14" spans="2:16" ht="24">
      <c r="B14" s="17"/>
      <c r="C14" s="30" t="s">
        <v>30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2:16" ht="24">
      <c r="B15" s="2"/>
      <c r="C15" s="30" t="s">
        <v>20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2:16">
      <c r="B16" s="2"/>
      <c r="C16" s="30" t="s">
        <v>18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2:16">
      <c r="B17" s="2"/>
      <c r="C17" s="30" t="s">
        <v>18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20" spans="2:16">
      <c r="B20" s="23" t="s">
        <v>0</v>
      </c>
      <c r="C20" s="26" t="s">
        <v>1</v>
      </c>
      <c r="D20" s="26" t="s">
        <v>2</v>
      </c>
      <c r="E20" s="23" t="s">
        <v>3</v>
      </c>
      <c r="F20" s="27" t="s">
        <v>4</v>
      </c>
      <c r="G20" s="28" t="s">
        <v>5</v>
      </c>
      <c r="H20" s="29" t="s">
        <v>6</v>
      </c>
      <c r="I20" s="13" t="s">
        <v>7</v>
      </c>
      <c r="J20" s="29" t="s">
        <v>8</v>
      </c>
      <c r="K20" s="13" t="s">
        <v>9</v>
      </c>
      <c r="L20" s="14" t="s">
        <v>10</v>
      </c>
      <c r="M20" s="13" t="s">
        <v>11</v>
      </c>
      <c r="N20" s="14" t="s">
        <v>12</v>
      </c>
      <c r="O20" s="13" t="s">
        <v>13</v>
      </c>
      <c r="P20" s="14" t="s">
        <v>14</v>
      </c>
    </row>
    <row r="21" spans="2:16">
      <c r="B21" s="31" t="s">
        <v>34</v>
      </c>
      <c r="C21" s="31" t="s">
        <v>35</v>
      </c>
      <c r="D21" s="31" t="s">
        <v>36</v>
      </c>
      <c r="E21" s="31" t="s">
        <v>37</v>
      </c>
      <c r="F21" s="31" t="s">
        <v>34</v>
      </c>
      <c r="G21" s="31" t="s">
        <v>38</v>
      </c>
      <c r="H21" s="31" t="s">
        <v>39</v>
      </c>
      <c r="I21" s="31" t="s">
        <v>40</v>
      </c>
      <c r="J21" s="31" t="s">
        <v>39</v>
      </c>
      <c r="K21" s="31" t="s">
        <v>35</v>
      </c>
      <c r="L21" s="31" t="s">
        <v>41</v>
      </c>
      <c r="M21" s="31" t="s">
        <v>38</v>
      </c>
      <c r="N21" s="31" t="s">
        <v>42</v>
      </c>
      <c r="O21" s="31" t="s">
        <v>35</v>
      </c>
      <c r="P21" s="31" t="s">
        <v>42</v>
      </c>
    </row>
    <row r="22" spans="2:16">
      <c r="B22" s="31" t="s">
        <v>34</v>
      </c>
      <c r="C22" s="31" t="s">
        <v>43</v>
      </c>
      <c r="D22" s="31" t="s">
        <v>38</v>
      </c>
      <c r="E22" s="31" t="s">
        <v>34</v>
      </c>
      <c r="F22" s="2"/>
      <c r="G22" s="31" t="s">
        <v>35</v>
      </c>
      <c r="H22" s="31" t="s">
        <v>39</v>
      </c>
      <c r="I22" s="31" t="s">
        <v>35</v>
      </c>
      <c r="J22" s="31" t="s">
        <v>44</v>
      </c>
      <c r="K22" s="31" t="s">
        <v>35</v>
      </c>
      <c r="L22" s="31" t="s">
        <v>34</v>
      </c>
      <c r="M22" s="31" t="s">
        <v>40</v>
      </c>
      <c r="N22" s="31" t="s">
        <v>42</v>
      </c>
      <c r="O22" s="31" t="s">
        <v>35</v>
      </c>
      <c r="P22" s="31" t="s">
        <v>45</v>
      </c>
    </row>
    <row r="23" spans="2:16">
      <c r="B23" s="31" t="s">
        <v>34</v>
      </c>
      <c r="C23" s="31" t="s">
        <v>35</v>
      </c>
      <c r="D23" s="31" t="s">
        <v>36</v>
      </c>
      <c r="E23" s="31" t="s">
        <v>34</v>
      </c>
      <c r="F23" s="2"/>
      <c r="G23" s="31" t="s">
        <v>36</v>
      </c>
      <c r="H23" s="31" t="s">
        <v>39</v>
      </c>
      <c r="I23" s="31" t="s">
        <v>35</v>
      </c>
      <c r="J23" s="31" t="s">
        <v>39</v>
      </c>
      <c r="K23" s="31" t="s">
        <v>35</v>
      </c>
      <c r="L23" s="31" t="s">
        <v>46</v>
      </c>
      <c r="M23" s="31" t="s">
        <v>40</v>
      </c>
      <c r="N23" s="31" t="s">
        <v>34</v>
      </c>
      <c r="O23" s="31" t="s">
        <v>35</v>
      </c>
      <c r="P23" s="31" t="s">
        <v>34</v>
      </c>
    </row>
    <row r="24" spans="2:16">
      <c r="B24" s="31" t="s">
        <v>34</v>
      </c>
      <c r="C24" s="31" t="s">
        <v>38</v>
      </c>
      <c r="D24" s="2"/>
      <c r="E24" s="31" t="s">
        <v>34</v>
      </c>
      <c r="F24" s="2"/>
      <c r="G24" s="2"/>
      <c r="H24" s="31" t="s">
        <v>39</v>
      </c>
      <c r="I24" s="31" t="s">
        <v>43</v>
      </c>
      <c r="J24" s="31" t="s">
        <v>44</v>
      </c>
      <c r="K24" s="31" t="s">
        <v>43</v>
      </c>
      <c r="L24" s="31" t="s">
        <v>34</v>
      </c>
      <c r="M24" s="31" t="s">
        <v>43</v>
      </c>
      <c r="N24" s="3"/>
      <c r="O24" s="31" t="s">
        <v>47</v>
      </c>
      <c r="P24" s="31" t="s">
        <v>34</v>
      </c>
    </row>
    <row r="25" spans="2:16">
      <c r="B25" s="31" t="s">
        <v>34</v>
      </c>
      <c r="C25" s="31" t="s">
        <v>40</v>
      </c>
      <c r="D25" s="2"/>
      <c r="E25" s="31" t="s">
        <v>34</v>
      </c>
      <c r="F25" s="2"/>
      <c r="G25" s="2"/>
      <c r="H25" s="31" t="s">
        <v>48</v>
      </c>
      <c r="I25" s="31" t="s">
        <v>34</v>
      </c>
      <c r="J25" s="31" t="s">
        <v>39</v>
      </c>
      <c r="K25" s="31" t="s">
        <v>40</v>
      </c>
      <c r="L25" s="2"/>
      <c r="M25" s="31" t="s">
        <v>40</v>
      </c>
      <c r="N25" s="1"/>
      <c r="O25" s="31" t="s">
        <v>40</v>
      </c>
      <c r="P25" s="31" t="s">
        <v>45</v>
      </c>
    </row>
    <row r="26" spans="2:16">
      <c r="B26" s="31" t="s">
        <v>34</v>
      </c>
      <c r="C26" s="31" t="s">
        <v>40</v>
      </c>
      <c r="D26" s="2"/>
      <c r="E26" s="31" t="s">
        <v>48</v>
      </c>
      <c r="F26" s="2"/>
      <c r="G26" s="2"/>
      <c r="H26" s="31" t="s">
        <v>46</v>
      </c>
      <c r="I26" s="31" t="s">
        <v>36</v>
      </c>
      <c r="J26" s="31" t="s">
        <v>49</v>
      </c>
      <c r="K26" s="31" t="s">
        <v>35</v>
      </c>
      <c r="L26" s="2"/>
      <c r="M26" s="31" t="s">
        <v>40</v>
      </c>
      <c r="N26" s="1"/>
      <c r="O26" s="31" t="s">
        <v>36</v>
      </c>
      <c r="P26" s="31" t="s">
        <v>46</v>
      </c>
    </row>
    <row r="27" spans="2:16">
      <c r="B27" s="31" t="s">
        <v>45</v>
      </c>
      <c r="C27" s="31" t="s">
        <v>36</v>
      </c>
      <c r="D27" s="2"/>
      <c r="E27" s="31" t="s">
        <v>34</v>
      </c>
      <c r="F27" s="2"/>
      <c r="G27" s="2"/>
      <c r="H27" s="31" t="s">
        <v>49</v>
      </c>
      <c r="I27" s="2"/>
      <c r="J27" s="31" t="s">
        <v>46</v>
      </c>
      <c r="K27" s="31" t="s">
        <v>43</v>
      </c>
      <c r="L27" s="2"/>
      <c r="M27" s="31" t="s">
        <v>35</v>
      </c>
      <c r="N27" s="1"/>
      <c r="O27" s="2"/>
      <c r="P27" s="3"/>
    </row>
    <row r="28" spans="2:16">
      <c r="B28" s="31" t="s">
        <v>34</v>
      </c>
      <c r="C28" s="31" t="s">
        <v>43</v>
      </c>
      <c r="D28" s="2"/>
      <c r="E28" s="2"/>
      <c r="F28" s="2"/>
      <c r="G28" s="2"/>
      <c r="H28" s="31" t="s">
        <v>42</v>
      </c>
      <c r="I28" s="2"/>
      <c r="J28" s="31" t="s">
        <v>46</v>
      </c>
      <c r="K28" s="31" t="s">
        <v>40</v>
      </c>
      <c r="L28" s="2"/>
      <c r="M28" s="31" t="s">
        <v>43</v>
      </c>
      <c r="N28" s="3"/>
      <c r="O28" s="2"/>
      <c r="P28" s="1"/>
    </row>
    <row r="29" spans="2:16">
      <c r="B29" s="18"/>
      <c r="C29" s="31" t="s">
        <v>36</v>
      </c>
      <c r="D29" s="2"/>
      <c r="E29" s="2"/>
      <c r="F29" s="2"/>
      <c r="G29" s="2"/>
      <c r="H29" s="31" t="s">
        <v>50</v>
      </c>
      <c r="I29" s="2"/>
      <c r="J29" s="31" t="s">
        <v>46</v>
      </c>
      <c r="K29" s="31" t="s">
        <v>35</v>
      </c>
      <c r="L29" s="2"/>
      <c r="M29" s="31" t="s">
        <v>40</v>
      </c>
      <c r="N29" s="1"/>
      <c r="O29" s="2"/>
      <c r="P29" s="3"/>
    </row>
    <row r="30" spans="2:16">
      <c r="B30" s="18"/>
      <c r="C30" s="31" t="s">
        <v>40</v>
      </c>
      <c r="D30" s="2"/>
      <c r="E30" s="2"/>
      <c r="F30" s="2"/>
      <c r="G30" s="2"/>
      <c r="H30" s="1"/>
      <c r="I30" s="2"/>
      <c r="J30" s="31" t="s">
        <v>46</v>
      </c>
      <c r="K30" s="2"/>
      <c r="L30" s="2"/>
      <c r="M30" s="1"/>
      <c r="N30" s="3"/>
      <c r="O30" s="2"/>
      <c r="P30" s="2"/>
    </row>
    <row r="31" spans="2:16">
      <c r="B31" s="19"/>
      <c r="C31" s="31" t="s">
        <v>36</v>
      </c>
      <c r="D31" s="2"/>
      <c r="E31" s="2"/>
      <c r="F31" s="2"/>
      <c r="G31" s="2"/>
      <c r="H31" s="2"/>
      <c r="I31" s="2"/>
      <c r="J31" s="31" t="s">
        <v>42</v>
      </c>
      <c r="K31" s="2"/>
      <c r="L31" s="2"/>
      <c r="M31" s="2"/>
      <c r="N31" s="2"/>
      <c r="O31" s="2"/>
      <c r="P31" s="2"/>
    </row>
    <row r="32" spans="2:16">
      <c r="B32" s="17"/>
      <c r="C32" s="31" t="s">
        <v>40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2:16">
      <c r="B33" s="2"/>
      <c r="C33" s="31" t="s">
        <v>36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2:16">
      <c r="B34" s="2"/>
      <c r="C34" s="31" t="s">
        <v>34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2:16">
      <c r="B35" s="2"/>
      <c r="C35" s="31" t="s">
        <v>34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</sheetData>
  <phoneticPr fontId="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J14"/>
  <sheetViews>
    <sheetView workbookViewId="0"/>
  </sheetViews>
  <sheetFormatPr baseColWidth="10" defaultColWidth="8.83203125" defaultRowHeight="14"/>
  <cols>
    <col min="2" max="8" width="9.83203125" customWidth="1"/>
  </cols>
  <sheetData>
    <row r="2" spans="1:10" ht="15">
      <c r="B2" s="36" t="s">
        <v>51</v>
      </c>
      <c r="C2" s="37" t="s">
        <v>52</v>
      </c>
      <c r="D2" s="37" t="s">
        <v>53</v>
      </c>
      <c r="E2" s="38" t="s">
        <v>54</v>
      </c>
      <c r="F2" s="38" t="s">
        <v>55</v>
      </c>
      <c r="G2" s="38" t="s">
        <v>1</v>
      </c>
      <c r="H2" s="39" t="s">
        <v>56</v>
      </c>
      <c r="I2" s="39" t="s">
        <v>57</v>
      </c>
      <c r="J2" s="53" t="s">
        <v>58</v>
      </c>
    </row>
    <row r="3" spans="1:10">
      <c r="B3" s="91" t="s">
        <v>59</v>
      </c>
      <c r="C3" s="41"/>
      <c r="D3" s="41">
        <v>1.629</v>
      </c>
      <c r="E3" s="78">
        <v>1.7470000000000001</v>
      </c>
      <c r="F3" s="78">
        <v>1.5629999999999999</v>
      </c>
      <c r="G3" s="41">
        <v>1.7490000000000001</v>
      </c>
      <c r="H3" s="41">
        <v>1.5169999999999999</v>
      </c>
      <c r="I3" s="41">
        <v>1.768</v>
      </c>
      <c r="J3" s="41">
        <v>1.6879999999999999</v>
      </c>
    </row>
    <row r="4" spans="1:10">
      <c r="B4" s="92"/>
      <c r="C4" s="41"/>
      <c r="D4" s="41">
        <v>1.6819999999999999</v>
      </c>
      <c r="E4" s="41"/>
      <c r="F4" s="41"/>
      <c r="G4" s="41"/>
      <c r="H4" s="41"/>
      <c r="I4" s="41"/>
      <c r="J4" s="41"/>
    </row>
    <row r="5" spans="1:10">
      <c r="B5" s="40" t="s">
        <v>60</v>
      </c>
      <c r="C5" s="41"/>
      <c r="D5" s="41"/>
      <c r="E5" s="41">
        <v>1.6619999999999999</v>
      </c>
      <c r="F5" s="42"/>
      <c r="G5" s="41">
        <v>1.7290000000000001</v>
      </c>
      <c r="H5" s="41">
        <v>1.5549999999999999</v>
      </c>
      <c r="I5" s="41">
        <v>1.7310000000000001</v>
      </c>
      <c r="J5" s="41">
        <v>1.6759999999999999</v>
      </c>
    </row>
    <row r="6" spans="1:10">
      <c r="B6" s="40" t="s">
        <v>61</v>
      </c>
      <c r="C6" s="41"/>
      <c r="D6" s="41"/>
      <c r="E6" s="41">
        <v>1.694</v>
      </c>
      <c r="F6" s="42"/>
      <c r="G6" s="41">
        <v>1.7969999999999999</v>
      </c>
      <c r="H6" s="41">
        <v>1.534</v>
      </c>
      <c r="I6" s="41"/>
      <c r="J6" s="41"/>
    </row>
    <row r="7" spans="1:10">
      <c r="B7" s="91" t="s">
        <v>62</v>
      </c>
      <c r="C7" s="44"/>
      <c r="D7" s="44">
        <v>1.6479999999999999</v>
      </c>
      <c r="E7" s="45">
        <v>1.66</v>
      </c>
      <c r="F7" s="45">
        <v>1.5960000000000001</v>
      </c>
      <c r="G7" s="46">
        <v>1.6970000000000001</v>
      </c>
      <c r="H7" s="45">
        <v>1.53</v>
      </c>
      <c r="I7" s="45">
        <v>1.754</v>
      </c>
      <c r="J7" s="45">
        <v>1.7130000000000001</v>
      </c>
    </row>
    <row r="8" spans="1:10">
      <c r="B8" s="92"/>
      <c r="C8" s="47"/>
      <c r="D8" s="47">
        <v>1.8140000000000001</v>
      </c>
      <c r="E8" s="41"/>
      <c r="F8" s="41"/>
      <c r="G8" s="42"/>
      <c r="H8" s="41"/>
      <c r="I8" s="41"/>
      <c r="J8" s="41"/>
    </row>
    <row r="9" spans="1:10">
      <c r="B9" s="40" t="s">
        <v>63</v>
      </c>
      <c r="C9" s="47"/>
      <c r="D9" s="47">
        <v>1.603</v>
      </c>
      <c r="E9" s="42">
        <v>1.581</v>
      </c>
      <c r="F9" s="42">
        <v>1.607</v>
      </c>
      <c r="G9" s="42">
        <v>1.8009999999999999</v>
      </c>
      <c r="H9" s="41">
        <v>1.526</v>
      </c>
      <c r="I9" s="41">
        <v>1.7729999999999999</v>
      </c>
      <c r="J9" s="41">
        <v>1.7430000000000001</v>
      </c>
    </row>
    <row r="10" spans="1:10">
      <c r="B10" s="91" t="s">
        <v>64</v>
      </c>
      <c r="C10" s="47">
        <v>1.6220000000000001</v>
      </c>
      <c r="D10" s="47">
        <v>1.718</v>
      </c>
      <c r="E10" s="42">
        <v>1.6339999999999999</v>
      </c>
      <c r="F10" s="42">
        <v>1.625</v>
      </c>
      <c r="G10" s="79">
        <v>1.732</v>
      </c>
      <c r="H10" s="78">
        <v>1.5469999999999999</v>
      </c>
      <c r="I10" s="41">
        <v>1.7490000000000001</v>
      </c>
      <c r="J10" s="41">
        <v>1.7490000000000001</v>
      </c>
    </row>
    <row r="11" spans="1:10">
      <c r="B11" s="93"/>
      <c r="C11" s="48"/>
      <c r="D11" s="48">
        <v>1.7450000000000001</v>
      </c>
      <c r="E11" s="49"/>
      <c r="F11" s="49"/>
      <c r="G11" s="49"/>
      <c r="H11" s="76"/>
      <c r="I11" s="76"/>
      <c r="J11" s="76"/>
    </row>
    <row r="12" spans="1:10">
      <c r="A12" s="16"/>
      <c r="B12" s="43" t="s">
        <v>15</v>
      </c>
      <c r="C12" s="50">
        <f t="shared" ref="C12:J12" si="0">MIN(C3:C11)</f>
        <v>1.6220000000000001</v>
      </c>
      <c r="D12" s="50">
        <f t="shared" si="0"/>
        <v>1.603</v>
      </c>
      <c r="E12" s="46">
        <f t="shared" si="0"/>
        <v>1.581</v>
      </c>
      <c r="F12" s="46">
        <f t="shared" si="0"/>
        <v>1.5629999999999999</v>
      </c>
      <c r="G12" s="46">
        <f t="shared" si="0"/>
        <v>1.6970000000000001</v>
      </c>
      <c r="H12" s="46">
        <f t="shared" si="0"/>
        <v>1.5169999999999999</v>
      </c>
      <c r="I12" s="46">
        <f t="shared" si="0"/>
        <v>1.7310000000000001</v>
      </c>
      <c r="J12" s="46">
        <f t="shared" si="0"/>
        <v>1.6759999999999999</v>
      </c>
    </row>
    <row r="13" spans="1:10">
      <c r="A13" s="16"/>
      <c r="B13" s="40" t="s">
        <v>16</v>
      </c>
      <c r="C13" s="51">
        <f t="shared" ref="C13:J13" si="1">MAX(C3:C11)</f>
        <v>1.6220000000000001</v>
      </c>
      <c r="D13" s="51">
        <f t="shared" si="1"/>
        <v>1.8140000000000001</v>
      </c>
      <c r="E13" s="42">
        <f t="shared" si="1"/>
        <v>1.7470000000000001</v>
      </c>
      <c r="F13" s="42">
        <f t="shared" si="1"/>
        <v>1.625</v>
      </c>
      <c r="G13" s="42">
        <f t="shared" si="1"/>
        <v>1.8009999999999999</v>
      </c>
      <c r="H13" s="42">
        <f t="shared" si="1"/>
        <v>1.5549999999999999</v>
      </c>
      <c r="I13" s="42">
        <f t="shared" si="1"/>
        <v>1.7729999999999999</v>
      </c>
      <c r="J13" s="42">
        <f t="shared" si="1"/>
        <v>1.7490000000000001</v>
      </c>
    </row>
    <row r="14" spans="1:10">
      <c r="A14" s="16"/>
      <c r="B14" s="40" t="s">
        <v>17</v>
      </c>
      <c r="C14" s="51">
        <f t="shared" ref="C14:J14" si="2">AVERAGE(C3:C11)</f>
        <v>1.6220000000000001</v>
      </c>
      <c r="D14" s="51">
        <f t="shared" si="2"/>
        <v>1.6912857142857141</v>
      </c>
      <c r="E14" s="42">
        <f t="shared" si="2"/>
        <v>1.663</v>
      </c>
      <c r="F14" s="42">
        <f t="shared" si="2"/>
        <v>1.59775</v>
      </c>
      <c r="G14" s="42">
        <f t="shared" si="2"/>
        <v>1.7508333333333332</v>
      </c>
      <c r="H14" s="42">
        <f t="shared" si="2"/>
        <v>1.5348333333333333</v>
      </c>
      <c r="I14" s="42">
        <f t="shared" si="2"/>
        <v>1.7550000000000001</v>
      </c>
      <c r="J14" s="42">
        <f t="shared" si="2"/>
        <v>1.7138000000000002</v>
      </c>
    </row>
  </sheetData>
  <mergeCells count="3">
    <mergeCell ref="B3:B4"/>
    <mergeCell ref="B7:B8"/>
    <mergeCell ref="B10:B11"/>
  </mergeCells>
  <phoneticPr fontId="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J19"/>
  <sheetViews>
    <sheetView workbookViewId="0"/>
  </sheetViews>
  <sheetFormatPr baseColWidth="10" defaultColWidth="8.83203125" defaultRowHeight="14"/>
  <cols>
    <col min="1" max="1" width="3.6640625" customWidth="1"/>
    <col min="3" max="9" width="9" customWidth="1"/>
  </cols>
  <sheetData>
    <row r="2" spans="2:10" ht="15">
      <c r="B2" s="36" t="s">
        <v>51</v>
      </c>
      <c r="C2" s="37" t="s">
        <v>52</v>
      </c>
      <c r="D2" s="37" t="s">
        <v>53</v>
      </c>
      <c r="E2" s="38" t="s">
        <v>54</v>
      </c>
      <c r="F2" s="38" t="s">
        <v>55</v>
      </c>
      <c r="G2" s="38" t="s">
        <v>1</v>
      </c>
      <c r="H2" s="39" t="s">
        <v>56</v>
      </c>
      <c r="I2" s="39" t="s">
        <v>57</v>
      </c>
      <c r="J2" s="53" t="s">
        <v>58</v>
      </c>
    </row>
    <row r="3" spans="2:10">
      <c r="B3" s="91" t="s">
        <v>59</v>
      </c>
      <c r="C3" s="40"/>
      <c r="D3" s="40">
        <v>36</v>
      </c>
      <c r="E3" s="72">
        <v>45</v>
      </c>
      <c r="F3" s="74">
        <v>53</v>
      </c>
      <c r="G3" s="56">
        <v>86</v>
      </c>
      <c r="H3" s="56">
        <v>80</v>
      </c>
      <c r="I3" s="56">
        <v>106</v>
      </c>
      <c r="J3" s="57">
        <v>185</v>
      </c>
    </row>
    <row r="4" spans="2:10">
      <c r="B4" s="92"/>
      <c r="C4" s="54"/>
      <c r="D4" s="54">
        <v>49</v>
      </c>
      <c r="E4" s="55"/>
      <c r="F4" s="56"/>
      <c r="G4" s="56"/>
      <c r="H4" s="56"/>
      <c r="I4" s="56"/>
      <c r="J4" s="57"/>
    </row>
    <row r="5" spans="2:10">
      <c r="B5" s="40" t="s">
        <v>60</v>
      </c>
      <c r="C5" s="58"/>
      <c r="D5" s="58"/>
      <c r="E5" s="40">
        <v>60</v>
      </c>
      <c r="F5" s="58"/>
      <c r="G5" s="40">
        <v>105</v>
      </c>
      <c r="H5" s="40">
        <v>151</v>
      </c>
      <c r="I5" s="40">
        <v>101</v>
      </c>
      <c r="J5" s="40">
        <v>78</v>
      </c>
    </row>
    <row r="6" spans="2:10">
      <c r="B6" s="40" t="s">
        <v>61</v>
      </c>
      <c r="C6" s="58"/>
      <c r="D6" s="58"/>
      <c r="E6" s="58">
        <v>96</v>
      </c>
      <c r="F6" s="40"/>
      <c r="G6" s="40">
        <v>76</v>
      </c>
      <c r="H6" s="40">
        <v>135</v>
      </c>
      <c r="I6" s="58"/>
      <c r="J6" s="58"/>
    </row>
    <row r="7" spans="2:10">
      <c r="B7" s="91" t="s">
        <v>62</v>
      </c>
      <c r="C7" s="59"/>
      <c r="D7" s="59">
        <v>59</v>
      </c>
      <c r="E7" s="55">
        <v>47</v>
      </c>
      <c r="F7" s="55">
        <v>83</v>
      </c>
      <c r="G7" s="56">
        <v>71</v>
      </c>
      <c r="H7" s="55">
        <v>84</v>
      </c>
      <c r="I7" s="55">
        <v>108</v>
      </c>
      <c r="J7" s="55">
        <v>144</v>
      </c>
    </row>
    <row r="8" spans="2:10">
      <c r="B8" s="92"/>
      <c r="C8" s="60"/>
      <c r="D8" s="60">
        <v>55</v>
      </c>
      <c r="E8" s="58"/>
      <c r="F8" s="58"/>
      <c r="G8" s="57"/>
      <c r="H8" s="58"/>
      <c r="I8" s="58"/>
      <c r="J8" s="58"/>
    </row>
    <row r="9" spans="2:10">
      <c r="B9" s="40" t="s">
        <v>63</v>
      </c>
      <c r="C9" s="60"/>
      <c r="D9" s="60">
        <v>67</v>
      </c>
      <c r="E9" s="57">
        <v>88</v>
      </c>
      <c r="F9" s="57">
        <v>112</v>
      </c>
      <c r="G9" s="57">
        <v>115</v>
      </c>
      <c r="H9" s="58">
        <v>143</v>
      </c>
      <c r="I9" s="58">
        <v>108</v>
      </c>
      <c r="J9" s="58">
        <v>190</v>
      </c>
    </row>
    <row r="10" spans="2:10">
      <c r="B10" s="40" t="s">
        <v>65</v>
      </c>
      <c r="C10" s="60"/>
      <c r="D10" s="60">
        <v>81</v>
      </c>
      <c r="E10" s="57">
        <v>83</v>
      </c>
      <c r="F10" s="57">
        <v>71</v>
      </c>
      <c r="G10" s="57">
        <v>62</v>
      </c>
      <c r="H10" s="58">
        <v>118</v>
      </c>
      <c r="I10" s="58"/>
      <c r="J10" s="58"/>
    </row>
    <row r="11" spans="2:10">
      <c r="B11" s="91" t="s">
        <v>64</v>
      </c>
      <c r="C11" s="60">
        <v>62</v>
      </c>
      <c r="D11" s="60">
        <v>56</v>
      </c>
      <c r="E11" s="57">
        <v>107</v>
      </c>
      <c r="F11" s="57">
        <v>110</v>
      </c>
      <c r="G11" s="75">
        <v>52</v>
      </c>
      <c r="H11" s="72">
        <v>58</v>
      </c>
      <c r="I11" s="58">
        <v>167</v>
      </c>
      <c r="J11" s="58">
        <v>201</v>
      </c>
    </row>
    <row r="12" spans="2:10">
      <c r="B12" s="93"/>
      <c r="C12" s="61"/>
      <c r="D12" s="61">
        <v>42</v>
      </c>
      <c r="E12" s="64"/>
      <c r="F12" s="64"/>
      <c r="G12" s="64"/>
      <c r="H12" s="73"/>
      <c r="I12" s="73"/>
      <c r="J12" s="73"/>
    </row>
    <row r="13" spans="2:10">
      <c r="B13" s="43" t="s">
        <v>15</v>
      </c>
      <c r="C13" s="62">
        <f t="shared" ref="C13:J13" si="0">MIN(C3:C12)</f>
        <v>62</v>
      </c>
      <c r="D13" s="62">
        <f t="shared" si="0"/>
        <v>36</v>
      </c>
      <c r="E13" s="56">
        <f t="shared" si="0"/>
        <v>45</v>
      </c>
      <c r="F13" s="56">
        <f t="shared" si="0"/>
        <v>53</v>
      </c>
      <c r="G13" s="56">
        <f t="shared" si="0"/>
        <v>52</v>
      </c>
      <c r="H13" s="56">
        <f t="shared" si="0"/>
        <v>58</v>
      </c>
      <c r="I13" s="56">
        <f t="shared" si="0"/>
        <v>101</v>
      </c>
      <c r="J13" s="56">
        <f t="shared" si="0"/>
        <v>78</v>
      </c>
    </row>
    <row r="14" spans="2:10">
      <c r="B14" s="40" t="s">
        <v>16</v>
      </c>
      <c r="C14" s="63">
        <f t="shared" ref="C14:J14" si="1">MAX(C3:C12)</f>
        <v>62</v>
      </c>
      <c r="D14" s="63">
        <f t="shared" si="1"/>
        <v>81</v>
      </c>
      <c r="E14" s="57">
        <f t="shared" si="1"/>
        <v>107</v>
      </c>
      <c r="F14" s="57">
        <f t="shared" si="1"/>
        <v>112</v>
      </c>
      <c r="G14" s="57">
        <f t="shared" si="1"/>
        <v>115</v>
      </c>
      <c r="H14" s="57">
        <f t="shared" si="1"/>
        <v>151</v>
      </c>
      <c r="I14" s="57">
        <f t="shared" si="1"/>
        <v>167</v>
      </c>
      <c r="J14" s="57">
        <f t="shared" si="1"/>
        <v>201</v>
      </c>
    </row>
    <row r="15" spans="2:10">
      <c r="B15" s="40" t="s">
        <v>17</v>
      </c>
      <c r="C15" s="63">
        <f t="shared" ref="C15:J15" si="2">AVERAGE(C3:C12)</f>
        <v>62</v>
      </c>
      <c r="D15" s="63">
        <f t="shared" si="2"/>
        <v>55.625</v>
      </c>
      <c r="E15" s="57">
        <f t="shared" si="2"/>
        <v>75.142857142857139</v>
      </c>
      <c r="F15" s="57">
        <f t="shared" si="2"/>
        <v>85.8</v>
      </c>
      <c r="G15" s="57">
        <f t="shared" si="2"/>
        <v>81</v>
      </c>
      <c r="H15" s="57">
        <f t="shared" si="2"/>
        <v>109.85714285714286</v>
      </c>
      <c r="I15" s="57">
        <f t="shared" si="2"/>
        <v>118</v>
      </c>
      <c r="J15" s="57">
        <f t="shared" si="2"/>
        <v>159.6</v>
      </c>
    </row>
    <row r="16" spans="2:10">
      <c r="B16" s="35"/>
      <c r="C16" s="32"/>
      <c r="D16" s="32"/>
      <c r="E16" s="32"/>
      <c r="F16" s="32"/>
      <c r="G16" s="32"/>
      <c r="H16" s="32"/>
      <c r="I16" s="32"/>
      <c r="J16" s="32"/>
    </row>
    <row r="17" spans="2:10">
      <c r="B17" s="33"/>
      <c r="C17" s="34"/>
      <c r="D17" s="34"/>
      <c r="E17" s="34"/>
      <c r="F17" s="34"/>
      <c r="G17" s="34"/>
      <c r="H17" s="34"/>
      <c r="I17" s="34"/>
      <c r="J17" s="34"/>
    </row>
    <row r="18" spans="2:10">
      <c r="B18" s="33"/>
      <c r="C18" s="34"/>
      <c r="D18" s="34"/>
      <c r="E18" s="34"/>
      <c r="F18" s="34"/>
      <c r="G18" s="34"/>
      <c r="H18" s="34"/>
      <c r="I18" s="34"/>
      <c r="J18" s="34"/>
    </row>
    <row r="19" spans="2:10">
      <c r="B19" s="33"/>
      <c r="C19" s="34"/>
      <c r="D19" s="34"/>
      <c r="E19" s="34"/>
      <c r="F19" s="34"/>
      <c r="G19" s="34"/>
      <c r="H19" s="34"/>
      <c r="I19" s="34"/>
      <c r="J19" s="34"/>
    </row>
  </sheetData>
  <mergeCells count="3">
    <mergeCell ref="B3:B4"/>
    <mergeCell ref="B7:B8"/>
    <mergeCell ref="B11:B12"/>
  </mergeCells>
  <phoneticPr fontId="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J15"/>
  <sheetViews>
    <sheetView workbookViewId="0"/>
  </sheetViews>
  <sheetFormatPr baseColWidth="10" defaultColWidth="8.83203125" defaultRowHeight="14"/>
  <sheetData>
    <row r="2" spans="2:10" ht="15">
      <c r="B2" s="52" t="s">
        <v>51</v>
      </c>
      <c r="C2" s="37" t="s">
        <v>52</v>
      </c>
      <c r="D2" s="37" t="s">
        <v>53</v>
      </c>
      <c r="E2" s="38" t="s">
        <v>54</v>
      </c>
      <c r="F2" s="38" t="s">
        <v>55</v>
      </c>
      <c r="G2" s="38" t="s">
        <v>1</v>
      </c>
      <c r="H2" s="39" t="s">
        <v>56</v>
      </c>
      <c r="I2" s="39" t="s">
        <v>57</v>
      </c>
      <c r="J2" s="53" t="s">
        <v>58</v>
      </c>
    </row>
    <row r="3" spans="2:10">
      <c r="B3" s="91" t="s">
        <v>59</v>
      </c>
      <c r="C3" s="40"/>
      <c r="D3" s="40">
        <v>163</v>
      </c>
      <c r="E3" s="71">
        <v>174</v>
      </c>
      <c r="F3" s="71">
        <v>168</v>
      </c>
      <c r="G3" s="40">
        <v>344</v>
      </c>
      <c r="H3" s="40">
        <v>445</v>
      </c>
      <c r="I3" s="40">
        <v>503</v>
      </c>
      <c r="J3" s="40">
        <v>669</v>
      </c>
    </row>
    <row r="4" spans="2:10">
      <c r="B4" s="92"/>
      <c r="C4" s="54"/>
      <c r="D4" s="54">
        <v>226</v>
      </c>
      <c r="E4" s="43"/>
      <c r="F4" s="40"/>
      <c r="G4" s="40"/>
      <c r="H4" s="40"/>
      <c r="I4" s="40"/>
      <c r="J4" s="40"/>
    </row>
    <row r="5" spans="2:10">
      <c r="B5" s="40" t="s">
        <v>60</v>
      </c>
      <c r="C5" s="58"/>
      <c r="D5" s="58"/>
      <c r="E5" s="40">
        <v>265</v>
      </c>
      <c r="F5" s="40"/>
      <c r="G5" s="40">
        <v>453</v>
      </c>
      <c r="H5" s="40">
        <v>596</v>
      </c>
      <c r="I5" s="40">
        <v>579</v>
      </c>
      <c r="J5" s="40">
        <v>608</v>
      </c>
    </row>
    <row r="6" spans="2:10">
      <c r="B6" s="40" t="s">
        <v>61</v>
      </c>
      <c r="C6" s="58"/>
      <c r="D6" s="58"/>
      <c r="E6" s="40">
        <v>576</v>
      </c>
      <c r="F6" s="40"/>
      <c r="G6" s="40">
        <v>494</v>
      </c>
      <c r="H6" s="40">
        <v>525</v>
      </c>
      <c r="I6" s="58"/>
      <c r="J6" s="58"/>
    </row>
    <row r="7" spans="2:10">
      <c r="B7" s="91" t="s">
        <v>62</v>
      </c>
      <c r="C7" s="59"/>
      <c r="D7" s="59">
        <v>197</v>
      </c>
      <c r="E7" s="55">
        <v>249</v>
      </c>
      <c r="F7" s="55">
        <v>300</v>
      </c>
      <c r="G7" s="56">
        <v>370</v>
      </c>
      <c r="H7" s="55">
        <v>437</v>
      </c>
      <c r="I7" s="55">
        <v>525</v>
      </c>
      <c r="J7" s="55">
        <v>623</v>
      </c>
    </row>
    <row r="8" spans="2:10">
      <c r="B8" s="92"/>
      <c r="C8" s="60"/>
      <c r="D8" s="60">
        <v>258</v>
      </c>
      <c r="E8" s="58"/>
      <c r="F8" s="58"/>
      <c r="G8" s="57"/>
      <c r="H8" s="58"/>
      <c r="I8" s="58"/>
      <c r="J8" s="58"/>
    </row>
    <row r="9" spans="2:10">
      <c r="B9" s="40" t="s">
        <v>63</v>
      </c>
      <c r="C9" s="60"/>
      <c r="D9" s="60">
        <v>248</v>
      </c>
      <c r="E9" s="57">
        <v>293</v>
      </c>
      <c r="F9" s="57">
        <v>309</v>
      </c>
      <c r="G9" s="57">
        <v>479</v>
      </c>
      <c r="H9" s="58">
        <v>556</v>
      </c>
      <c r="I9" s="58">
        <v>687</v>
      </c>
      <c r="J9" s="58">
        <v>682</v>
      </c>
    </row>
    <row r="10" spans="2:10">
      <c r="B10" s="40" t="s">
        <v>65</v>
      </c>
      <c r="C10" s="60"/>
      <c r="D10" s="60">
        <v>296</v>
      </c>
      <c r="E10" s="57">
        <v>270</v>
      </c>
      <c r="F10" s="57">
        <v>276</v>
      </c>
      <c r="G10" s="57">
        <v>325</v>
      </c>
      <c r="H10" s="58">
        <v>470</v>
      </c>
      <c r="I10" s="58"/>
      <c r="J10" s="58"/>
    </row>
    <row r="11" spans="2:10">
      <c r="B11" s="91" t="s">
        <v>64</v>
      </c>
      <c r="C11" s="60">
        <v>141</v>
      </c>
      <c r="D11" s="60">
        <v>146</v>
      </c>
      <c r="E11" s="57">
        <v>306</v>
      </c>
      <c r="F11" s="57">
        <v>329</v>
      </c>
      <c r="G11" s="75">
        <v>330</v>
      </c>
      <c r="H11" s="72">
        <v>299</v>
      </c>
      <c r="I11" s="58">
        <v>575</v>
      </c>
      <c r="J11" s="58">
        <v>762</v>
      </c>
    </row>
    <row r="12" spans="2:10">
      <c r="B12" s="93"/>
      <c r="C12" s="61"/>
      <c r="D12" s="61">
        <v>261</v>
      </c>
      <c r="E12" s="64"/>
      <c r="F12" s="64"/>
      <c r="G12" s="64"/>
      <c r="H12" s="73"/>
      <c r="I12" s="73"/>
      <c r="J12" s="73"/>
    </row>
    <row r="13" spans="2:10">
      <c r="B13" s="43" t="s">
        <v>15</v>
      </c>
      <c r="C13" s="62">
        <f t="shared" ref="C13:J13" si="0">MIN(C3:C12)</f>
        <v>141</v>
      </c>
      <c r="D13" s="62">
        <f t="shared" si="0"/>
        <v>146</v>
      </c>
      <c r="E13" s="56">
        <f t="shared" si="0"/>
        <v>174</v>
      </c>
      <c r="F13" s="56">
        <f t="shared" si="0"/>
        <v>168</v>
      </c>
      <c r="G13" s="56">
        <f t="shared" si="0"/>
        <v>325</v>
      </c>
      <c r="H13" s="56">
        <f t="shared" si="0"/>
        <v>299</v>
      </c>
      <c r="I13" s="56">
        <f t="shared" si="0"/>
        <v>503</v>
      </c>
      <c r="J13" s="56">
        <f t="shared" si="0"/>
        <v>608</v>
      </c>
    </row>
    <row r="14" spans="2:10">
      <c r="B14" s="40" t="s">
        <v>16</v>
      </c>
      <c r="C14" s="63">
        <f t="shared" ref="C14:J14" si="1">MAX(C3:C12)</f>
        <v>141</v>
      </c>
      <c r="D14" s="63">
        <f t="shared" si="1"/>
        <v>296</v>
      </c>
      <c r="E14" s="57">
        <f t="shared" si="1"/>
        <v>576</v>
      </c>
      <c r="F14" s="57">
        <f t="shared" si="1"/>
        <v>329</v>
      </c>
      <c r="G14" s="57">
        <f t="shared" si="1"/>
        <v>494</v>
      </c>
      <c r="H14" s="57">
        <f t="shared" si="1"/>
        <v>596</v>
      </c>
      <c r="I14" s="57">
        <f t="shared" si="1"/>
        <v>687</v>
      </c>
      <c r="J14" s="57">
        <f t="shared" si="1"/>
        <v>762</v>
      </c>
    </row>
    <row r="15" spans="2:10">
      <c r="B15" s="40" t="s">
        <v>17</v>
      </c>
      <c r="C15" s="63">
        <f t="shared" ref="C15:J15" si="2">AVERAGE(C3:C12)</f>
        <v>141</v>
      </c>
      <c r="D15" s="63">
        <f t="shared" si="2"/>
        <v>224.375</v>
      </c>
      <c r="E15" s="57">
        <f t="shared" si="2"/>
        <v>304.71428571428572</v>
      </c>
      <c r="F15" s="57">
        <f t="shared" si="2"/>
        <v>276.39999999999998</v>
      </c>
      <c r="G15" s="57">
        <f t="shared" si="2"/>
        <v>399.28571428571428</v>
      </c>
      <c r="H15" s="57">
        <f t="shared" si="2"/>
        <v>475.42857142857144</v>
      </c>
      <c r="I15" s="57">
        <f t="shared" si="2"/>
        <v>573.79999999999995</v>
      </c>
      <c r="J15" s="57">
        <f t="shared" si="2"/>
        <v>668.8</v>
      </c>
    </row>
  </sheetData>
  <mergeCells count="3">
    <mergeCell ref="B3:B4"/>
    <mergeCell ref="B7:B8"/>
    <mergeCell ref="B11:B12"/>
  </mergeCells>
  <phoneticPr fontId="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J15"/>
  <sheetViews>
    <sheetView workbookViewId="0"/>
  </sheetViews>
  <sheetFormatPr baseColWidth="10" defaultColWidth="8.83203125" defaultRowHeight="14"/>
  <sheetData>
    <row r="2" spans="2:10" ht="15">
      <c r="B2" s="52" t="s">
        <v>51</v>
      </c>
      <c r="C2" s="37" t="s">
        <v>52</v>
      </c>
      <c r="D2" s="37" t="s">
        <v>53</v>
      </c>
      <c r="E2" s="38" t="s">
        <v>54</v>
      </c>
      <c r="F2" s="38" t="s">
        <v>55</v>
      </c>
      <c r="G2" s="38" t="s">
        <v>1</v>
      </c>
      <c r="H2" s="39" t="s">
        <v>56</v>
      </c>
      <c r="I2" s="39" t="s">
        <v>57</v>
      </c>
      <c r="J2" s="53" t="s">
        <v>58</v>
      </c>
    </row>
    <row r="3" spans="2:10">
      <c r="B3" s="91" t="s">
        <v>59</v>
      </c>
      <c r="C3" s="65"/>
      <c r="D3" s="65">
        <v>0.73</v>
      </c>
      <c r="E3" s="77">
        <v>0.63</v>
      </c>
      <c r="F3" s="77">
        <v>0.94</v>
      </c>
      <c r="G3" s="65">
        <v>0.51</v>
      </c>
      <c r="H3" s="65">
        <v>1.37</v>
      </c>
      <c r="I3" s="65">
        <v>0.63</v>
      </c>
      <c r="J3" s="65">
        <v>0.8</v>
      </c>
    </row>
    <row r="4" spans="2:10">
      <c r="B4" s="92"/>
      <c r="C4" s="65"/>
      <c r="D4" s="65">
        <v>0.7</v>
      </c>
      <c r="E4" s="65"/>
      <c r="F4" s="65"/>
      <c r="G4" s="65"/>
      <c r="H4" s="65"/>
      <c r="I4" s="65"/>
      <c r="J4" s="65"/>
    </row>
    <row r="5" spans="2:10">
      <c r="B5" s="40" t="s">
        <v>60</v>
      </c>
      <c r="C5" s="65"/>
      <c r="D5" s="65"/>
      <c r="E5" s="65">
        <v>0.75</v>
      </c>
      <c r="F5" s="65"/>
      <c r="G5" s="65">
        <v>0.6</v>
      </c>
      <c r="H5" s="65">
        <v>1.2</v>
      </c>
      <c r="I5" s="65">
        <v>0.81</v>
      </c>
      <c r="J5" s="65">
        <v>0.79</v>
      </c>
    </row>
    <row r="6" spans="2:10">
      <c r="B6" s="40" t="s">
        <v>61</v>
      </c>
      <c r="C6" s="65"/>
      <c r="D6" s="65"/>
      <c r="E6" s="65">
        <v>0.81</v>
      </c>
      <c r="F6" s="65"/>
      <c r="G6" s="65">
        <v>0.46</v>
      </c>
      <c r="H6" s="65">
        <v>1.18</v>
      </c>
      <c r="I6" s="65"/>
      <c r="J6" s="65"/>
    </row>
    <row r="7" spans="2:10">
      <c r="B7" s="91" t="s">
        <v>62</v>
      </c>
      <c r="C7" s="68"/>
      <c r="D7" s="68">
        <v>0.77</v>
      </c>
      <c r="E7" s="66">
        <v>0.69</v>
      </c>
      <c r="F7" s="66">
        <v>0.97</v>
      </c>
      <c r="G7" s="66">
        <v>0.52</v>
      </c>
      <c r="H7" s="66">
        <v>1.1200000000000001</v>
      </c>
      <c r="I7" s="66">
        <v>0.65</v>
      </c>
      <c r="J7" s="66">
        <v>0.78</v>
      </c>
    </row>
    <row r="8" spans="2:10">
      <c r="B8" s="92"/>
      <c r="C8" s="69"/>
      <c r="D8" s="69">
        <v>0.31</v>
      </c>
      <c r="E8" s="65"/>
      <c r="F8" s="65"/>
      <c r="G8" s="65"/>
      <c r="H8" s="65"/>
      <c r="I8" s="65"/>
      <c r="J8" s="65"/>
    </row>
    <row r="9" spans="2:10">
      <c r="B9" s="40" t="s">
        <v>63</v>
      </c>
      <c r="C9" s="69"/>
      <c r="D9" s="69">
        <v>0.92</v>
      </c>
      <c r="E9" s="65">
        <v>1</v>
      </c>
      <c r="F9" s="65">
        <v>0.86</v>
      </c>
      <c r="G9" s="65">
        <v>0.47</v>
      </c>
      <c r="H9" s="65">
        <v>1.4</v>
      </c>
      <c r="I9" s="65">
        <v>0.42</v>
      </c>
      <c r="J9" s="65">
        <v>0.7</v>
      </c>
    </row>
    <row r="10" spans="2:10">
      <c r="B10" s="40" t="s">
        <v>65</v>
      </c>
      <c r="C10" s="69"/>
      <c r="D10" s="69">
        <v>0.81</v>
      </c>
      <c r="E10" s="65">
        <v>0.85</v>
      </c>
      <c r="F10" s="65">
        <v>0.87</v>
      </c>
      <c r="G10" s="65">
        <v>0.57999999999999996</v>
      </c>
      <c r="H10" s="65">
        <v>1.1100000000000001</v>
      </c>
      <c r="I10" s="65"/>
      <c r="J10" s="65"/>
    </row>
    <row r="11" spans="2:10">
      <c r="B11" s="91" t="s">
        <v>64</v>
      </c>
      <c r="C11" s="69">
        <v>0.72</v>
      </c>
      <c r="D11" s="69">
        <v>0.62</v>
      </c>
      <c r="E11" s="65">
        <v>0.79</v>
      </c>
      <c r="F11" s="65">
        <v>0.85</v>
      </c>
      <c r="G11" s="77">
        <v>0.55000000000000004</v>
      </c>
      <c r="H11" s="77">
        <v>0.91</v>
      </c>
      <c r="I11" s="65">
        <v>0.77</v>
      </c>
      <c r="J11" s="65">
        <v>0.77</v>
      </c>
    </row>
    <row r="12" spans="2:10">
      <c r="B12" s="93"/>
      <c r="C12" s="70"/>
      <c r="D12" s="70">
        <v>0.56999999999999995</v>
      </c>
      <c r="E12" s="67"/>
      <c r="F12" s="67"/>
      <c r="G12" s="67"/>
      <c r="H12" s="67"/>
      <c r="I12" s="67"/>
      <c r="J12" s="67"/>
    </row>
    <row r="13" spans="2:10">
      <c r="B13" s="43" t="s">
        <v>15</v>
      </c>
      <c r="C13" s="68">
        <f t="shared" ref="C13:J13" si="0">MIN(C3:C12)</f>
        <v>0.72</v>
      </c>
      <c r="D13" s="68">
        <f t="shared" si="0"/>
        <v>0.31</v>
      </c>
      <c r="E13" s="66">
        <f t="shared" si="0"/>
        <v>0.63</v>
      </c>
      <c r="F13" s="66">
        <f t="shared" si="0"/>
        <v>0.85</v>
      </c>
      <c r="G13" s="66">
        <f t="shared" si="0"/>
        <v>0.46</v>
      </c>
      <c r="H13" s="66">
        <f t="shared" si="0"/>
        <v>0.91</v>
      </c>
      <c r="I13" s="66">
        <f t="shared" si="0"/>
        <v>0.42</v>
      </c>
      <c r="J13" s="66">
        <f t="shared" si="0"/>
        <v>0.7</v>
      </c>
    </row>
    <row r="14" spans="2:10">
      <c r="B14" s="40" t="s">
        <v>16</v>
      </c>
      <c r="C14" s="69">
        <f t="shared" ref="C14:J14" si="1">MAX(C3:C12)</f>
        <v>0.72</v>
      </c>
      <c r="D14" s="69">
        <f t="shared" si="1"/>
        <v>0.92</v>
      </c>
      <c r="E14" s="65">
        <f t="shared" si="1"/>
        <v>1</v>
      </c>
      <c r="F14" s="65">
        <f t="shared" si="1"/>
        <v>0.97</v>
      </c>
      <c r="G14" s="65">
        <f t="shared" si="1"/>
        <v>0.6</v>
      </c>
      <c r="H14" s="65">
        <f t="shared" si="1"/>
        <v>1.4</v>
      </c>
      <c r="I14" s="65">
        <f t="shared" si="1"/>
        <v>0.81</v>
      </c>
      <c r="J14" s="65">
        <f t="shared" si="1"/>
        <v>0.8</v>
      </c>
    </row>
    <row r="15" spans="2:10">
      <c r="B15" s="40" t="s">
        <v>17</v>
      </c>
      <c r="C15" s="69">
        <f t="shared" ref="C15:J15" si="2">AVERAGE(C3:C12)</f>
        <v>0.72</v>
      </c>
      <c r="D15" s="69">
        <f t="shared" si="2"/>
        <v>0.67875000000000008</v>
      </c>
      <c r="E15" s="65">
        <f t="shared" si="2"/>
        <v>0.78857142857142848</v>
      </c>
      <c r="F15" s="65">
        <f t="shared" si="2"/>
        <v>0.89800000000000002</v>
      </c>
      <c r="G15" s="65">
        <f t="shared" si="2"/>
        <v>0.52714285714285702</v>
      </c>
      <c r="H15" s="65">
        <f t="shared" si="2"/>
        <v>1.1842857142857142</v>
      </c>
      <c r="I15" s="65">
        <f t="shared" si="2"/>
        <v>0.65599999999999992</v>
      </c>
      <c r="J15" s="65">
        <f t="shared" si="2"/>
        <v>0.76800000000000002</v>
      </c>
    </row>
  </sheetData>
  <mergeCells count="3">
    <mergeCell ref="B3:B4"/>
    <mergeCell ref="B7:B8"/>
    <mergeCell ref="B11:B12"/>
  </mergeCells>
  <phoneticPr fontId="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一覧表</vt:lpstr>
      <vt:lpstr>密度</vt:lpstr>
      <vt:lpstr>含水</vt:lpstr>
      <vt:lpstr>粒度</vt:lpstr>
      <vt:lpstr>湿潤</vt:lpstr>
      <vt:lpstr>三軸</vt:lpstr>
      <vt:lpstr>圧密</vt:lpstr>
      <vt:lpstr>圧縮指数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愛海 林</cp:lastModifiedBy>
  <dcterms:created xsi:type="dcterms:W3CDTF">2026-08-24T04:08:04Z</dcterms:created>
  <dcterms:modified xsi:type="dcterms:W3CDTF">2026-08-24T04:08:04Z</dcterms:modified>
</cp:coreProperties>
</file>